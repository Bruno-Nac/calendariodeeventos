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Premissas" sheetId="1" state="visible" r:id="rId3"/>
    <sheet name="Diário" sheetId="2" state="visible" r:id="rId4"/>
    <sheet name="Semanal" sheetId="3" state="visible" r:id="rId5"/>
    <sheet name="Mensal" sheetId="4" state="visible" r:id="rId6"/>
    <sheet name="Consolidado" sheetId="5" state="visible" r:id="rId7"/>
    <sheet name="Gráficos" sheetId="6" state="visible" r:id="rId8"/>
    <sheet name="Tarifas por mês" sheetId="7" state="visible" r:id="rId9"/>
    <sheet name="Histórico diário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<sst xmlns="http://schemas.openxmlformats.org/spreadsheetml/2006/main" count="117" uniqueCount="75">
  <si>
    <t xml:space="preserve">Relatório de custo de mensagens Blip</t>
  </si>
  <si>
    <t xml:space="preserve">Categoria</t>
  </si>
  <si>
    <t xml:space="preserve">Tarifa por mensagem entregue (R$)</t>
  </si>
  <si>
    <t xml:space="preserve">Utilidade</t>
  </si>
  <si>
    <t xml:space="preserve">Marketing Lite</t>
  </si>
  <si>
    <t xml:space="preserve">Marketing</t>
  </si>
  <si>
    <t xml:space="preserve">Autenticação</t>
  </si>
  <si>
    <t xml:space="preserve">Início da 1ª semana</t>
  </si>
  <si>
    <t xml:space="preserve">Fim da 1ª semana</t>
  </si>
  <si>
    <t xml:space="preserve">Contatos de disparo</t>
  </si>
  <si>
    <t xml:space="preserve">Contato</t>
  </si>
  <si>
    <t xml:space="preserve">Disparos entregues</t>
  </si>
  <si>
    <t xml:space="preserve">% do total</t>
  </si>
  <si>
    <t xml:space="preserve">Serviço</t>
  </si>
  <si>
    <t xml:space="preserve">+55 11 93270 1695</t>
  </si>
  <si>
    <t xml:space="preserve">+55 11 95231 1000</t>
  </si>
  <si>
    <t xml:space="preserve">+55 11 96414 0786</t>
  </si>
  <si>
    <t xml:space="preserve">Total</t>
  </si>
  <si>
    <t xml:space="preserve">Fonte: Blip, Números de telefone, mensagens pagas (print de 15/10, acumulado de 01/10 a 14/10).</t>
  </si>
  <si>
    <t xml:space="preserve">Marketing e Autenticação sem envios. Serviço não tem tarifa e não entra no cálculo de custo.</t>
  </si>
  <si>
    <t xml:space="preserve">Tarifas por mês: a aba Tarifas por mês guarda as tarifas de jan/25 a set/26. Meses fora dela (out/26 em diante) usam as tarifas acima.</t>
  </si>
  <si>
    <t xml:space="preserve">Contagem diária de mensagens pagas entregues</t>
  </si>
  <si>
    <t xml:space="preserve">Data</t>
  </si>
  <si>
    <t xml:space="preserve">Total de mensagens</t>
  </si>
  <si>
    <t xml:space="preserve">Custo (R$)</t>
  </si>
  <si>
    <t xml:space="preserve">Mês</t>
  </si>
  <si>
    <t xml:space="preserve">Revendo meta valor cai para (3.295,89)</t>
  </si>
  <si>
    <t xml:space="preserve">Relatório semanal (Quinta a Quarta)</t>
  </si>
  <si>
    <t xml:space="preserve">Semana 1 definida em Premissas (início e fim). As demais têm 7 dias, a partir do dia seguinte. A última pode estar parcial (veja Dias com dados).</t>
  </si>
  <si>
    <t xml:space="preserve">Início</t>
  </si>
  <si>
    <t xml:space="preserve">Fim</t>
  </si>
  <si>
    <t xml:space="preserve">Dias com dados</t>
  </si>
  <si>
    <t xml:space="preserve">Custo médio por mensagem (R$)</t>
  </si>
  <si>
    <t xml:space="preserve">% do custo em Marketing Lite</t>
  </si>
  <si>
    <t xml:space="preserve">Variação do custo vs. semana anterior</t>
  </si>
  <si>
    <t xml:space="preserve">Relatório mensal</t>
  </si>
  <si>
    <t xml:space="preserve">Custo Utilidade (R$)</t>
  </si>
  <si>
    <t xml:space="preserve">Custo Marketing Lite (R$)</t>
  </si>
  <si>
    <t xml:space="preserve">Custo Marketing (R$)</t>
  </si>
  <si>
    <t xml:space="preserve">Custo Autenticação (R$)</t>
  </si>
  <si>
    <t xml:space="preserve">Custo total (R$)</t>
  </si>
  <si>
    <t xml:space="preserve">Variação do custo vs. mês anterior</t>
  </si>
  <si>
    <t xml:space="preserve">Consolidado de disparos WhatsApp: volume e custo estimado por mês</t>
  </si>
  <si>
    <t xml:space="preserve">Disparos = mensagens iniciadas pela empresa (Utilidade + Marketing Lite + Marketing + Autenticação). Jan/25 a set/26 vêm da aba Histórico diário; out/26 em diante vêm da aba Diário. O custo usa as tarifas da aba Tarifas por mês (meses de jan/25 a set/26) e de Premissas (demais meses). Linha em amarelo claro = mês parcial.</t>
  </si>
  <si>
    <t xml:space="preserve">Último mês completo</t>
  </si>
  <si>
    <t xml:space="preserve">Período</t>
  </si>
  <si>
    <t xml:space="preserve">Meses</t>
  </si>
  <si>
    <t xml:space="preserve">Disparos</t>
  </si>
  <si>
    <t xml:space="preserve">Custo estimado (R$)</t>
  </si>
  <si>
    <t xml:space="preserve">Custo médio por disparo (R$)</t>
  </si>
  <si>
    <t xml:space="preserve">Custo médio por mês (R$)</t>
  </si>
  <si>
    <t xml:space="preserve">Variação vs. mesmo período do ano anterior</t>
  </si>
  <si>
    <t xml:space="preserve">Acumulado desde jan/25 (inclui mês parcial)</t>
  </si>
  <si>
    <t xml:space="preserve">Meses parciais ficam fora das linhas de período (veja Dias com dados) e entram só no acumulado.</t>
  </si>
  <si>
    <t xml:space="preserve">Total de disparos</t>
  </si>
  <si>
    <t xml:space="preserve">Custo total</t>
  </si>
  <si>
    <t xml:space="preserve">Média diária de disparos</t>
  </si>
  <si>
    <t xml:space="preserve">Pico diário (disparos)</t>
  </si>
  <si>
    <t xml:space="preserve">Dia de pico</t>
  </si>
  <si>
    <t xml:space="preserve">Var. do custo vs. mês anterior</t>
  </si>
  <si>
    <t xml:space="preserve">Var. do custo vs. mesmo mês do ano anterior</t>
  </si>
  <si>
    <t xml:space="preserve">Mês completo (1 = sim)</t>
  </si>
  <si>
    <t xml:space="preserve">Gráficos</t>
  </si>
  <si>
    <t xml:space="preserve">Séries lidas da aba Consolidado (jan/25 a dez/26). Meses parciais aparecem com valor menor (veja Dias com dados). Cores fixas por categoria nos dois gráficos.</t>
  </si>
  <si>
    <t xml:space="preserve">Tarifas por mês (histórico)</t>
  </si>
  <si>
    <t xml:space="preserve">Todos os meses de jan/25 a set/26 estão preenchidos com as tarifas informadas em Premissas (Utilidade R$ 0,09, Marketing Lite R$ 0,54, Marketing R$ 0,60). Isso é uma premissa a confirmar: ajuste cada mês em que a tarifa efetiva era outra. Meses que não estão nesta tabela (out/26 em diante) usam a tarifa de Premissas.</t>
  </si>
  <si>
    <t xml:space="preserve">Utilidade (R$)</t>
  </si>
  <si>
    <t xml:space="preserve">Marketing Lite (R$)</t>
  </si>
  <si>
    <t xml:space="preserve">Marketing (R$)</t>
  </si>
  <si>
    <t xml:space="preserve">Autenticação (R$)</t>
  </si>
  <si>
    <t xml:space="preserve">Histórico diário de disparos, jan/25 a set/26</t>
  </si>
  <si>
    <t xml:space="preserve">Fonte: arquivo disparos_whatsapp_waba_370311302835363_jan25-set26.xlsx (Blip Portal, relatório de consumo WhatsApp). Dias sem registro na API = 0. Colunas A a E no mesmo layout da aba Diário. Disparos = mensagens iniciadas pela empresa (Utilidade + Autenticação + Marketing + Marketing Lite). Atendimento e Gratuitas são mensagens iniciadas pelo usuário e não entram no custo.</t>
  </si>
  <si>
    <t xml:space="preserve">Atendimento (serviço)</t>
  </si>
  <si>
    <t xml:space="preserve">Gratuitas</t>
  </si>
  <si>
    <t xml:space="preserve">Total iniciadas pelo usuário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</si>
</sst>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&quot;R$ &quot;#,##0.00"/>
    <numFmt numFmtId="166" formatCode="dd/mm/yyyy"/>
    <numFmt numFmtId="167" formatCode="#,##0;\(#,##0\);\-"/>
    <numFmt numFmtId="168" formatCode="0.0%;\(0.0%\);\-"/>
    <numFmt numFmtId="169" formatCode="m/d/yyyy"/>
    <numFmt numFmtId="170" formatCode="&quot;R$ &quot;#,##0.00;&quot;(R$ &quot;#,##0.00\);\-"/>
    <numFmt numFmtId="171" formatCode="mm/yyyy"/>
    <numFmt numFmtId="172" formatCode="&quot;R$ &quot;#,##0.0000"/>
    <numFmt numFmtId="173" formatCode="#,##0;\(#,##0\);\-"/>
    <numFmt numFmtId="174" formatCode="&quot;R$ &quot;#,##0.00;&quot;(R$ &quot;#,##0.00\);\-"/>
    <numFmt numFmtId="175" formatCode="&quot;R$ &quot;#,##0.0000"/>
    <numFmt numFmtId="176" formatCode="0.0%;\(0.0%\);\-"/>
    <numFmt numFmtId="177" formatCode="&quot;R$ &quot;#,##0"/>
    <numFmt numFmtId="178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2F5597"/>
        <bgColor rgb="FF1F3864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F2CC"/>
        </patternFill>
      </fill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E5E5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666699"/>
      <rgbColor rgb="FFB3B3B3"/>
      <rgbColor rgb="FF1F3864"/>
      <rgbColor rgb="FF1BAF7A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 estimado por mês (R$),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"Utilidade"</c:f>
              <c:strCache>
                <c:ptCount val="1"/>
                <c:pt idx="0">
                  <c:v>Utilidade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Consolidado!$A$14:$A$37</c:f>
              <c:strCache>
                <c:ptCount val="24"/>
                <c:pt idx="0">
                  <c:v>01/2025</c:v>
                </c:pt>
                <c:pt idx="1">
                  <c:v>02/2025</c:v>
                </c:pt>
                <c:pt idx="2">
                  <c:v>03/2025</c:v>
                </c:pt>
                <c:pt idx="3">
                  <c:v>04/2025</c:v>
                </c:pt>
                <c:pt idx="4">
                  <c:v>05/2025</c:v>
                </c:pt>
                <c:pt idx="5">
                  <c:v>06/2025</c:v>
                </c:pt>
                <c:pt idx="6">
                  <c:v>07/2025</c:v>
                </c:pt>
                <c:pt idx="7">
                  <c:v>08/2025</c:v>
                </c:pt>
                <c:pt idx="8">
                  <c:v>09/2025</c:v>
                </c:pt>
                <c:pt idx="9">
                  <c:v>10/2025</c:v>
                </c:pt>
                <c:pt idx="10">
                  <c:v>11/2025</c:v>
                </c:pt>
                <c:pt idx="11">
                  <c:v>12/2025</c:v>
                </c:pt>
                <c:pt idx="12">
                  <c:v>01/2026</c:v>
                </c:pt>
                <c:pt idx="13">
                  <c:v>02/2026</c:v>
                </c:pt>
                <c:pt idx="14">
                  <c:v>03/2026</c:v>
                </c:pt>
                <c:pt idx="15">
                  <c:v>04/2026</c:v>
                </c:pt>
                <c:pt idx="16">
                  <c:v>05/2026</c:v>
                </c:pt>
                <c:pt idx="17">
                  <c:v>06/2026</c:v>
                </c:pt>
                <c:pt idx="18">
                  <c:v>07/2026</c:v>
                </c:pt>
                <c:pt idx="19">
                  <c:v>08/2026</c:v>
                </c:pt>
                <c:pt idx="20">
                  <c:v>09/2026</c:v>
                </c:pt>
                <c:pt idx="21">
                  <c:v>10/2026</c:v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Consolidado!$H$14:$H$37</c:f>
              <c:numCache>
                <c:formatCode>"R$ "#,##0.00;"(R$ "#,##0.00\);\-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15367.41</c:v>
                </c:pt>
                <c:pt idx="21">
                  <c:v>14418.63</c:v>
                </c:pt>
              </c:numCache>
            </c:numRef>
          </c:val>
        </c:ser>
        <c:ser>
          <c:idx val="1"/>
          <c:order val="1"/>
          <c:tx>
            <c:strRef>
              <c:f>"Marketing Lite"</c:f>
              <c:strCache>
                <c:ptCount val="1"/>
                <c:pt idx="0">
                  <c:v>Marketing Lite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Consolidado!$A$14:$A$37</c:f>
              <c:strCache>
                <c:ptCount val="24"/>
                <c:pt idx="0">
                  <c:v>01/2025</c:v>
                </c:pt>
                <c:pt idx="1">
                  <c:v>02/2025</c:v>
                </c:pt>
                <c:pt idx="2">
                  <c:v>03/2025</c:v>
                </c:pt>
                <c:pt idx="3">
                  <c:v>04/2025</c:v>
                </c:pt>
                <c:pt idx="4">
                  <c:v>05/2025</c:v>
                </c:pt>
                <c:pt idx="5">
                  <c:v>06/2025</c:v>
                </c:pt>
                <c:pt idx="6">
                  <c:v>07/2025</c:v>
                </c:pt>
                <c:pt idx="7">
                  <c:v>08/2025</c:v>
                </c:pt>
                <c:pt idx="8">
                  <c:v>09/2025</c:v>
                </c:pt>
                <c:pt idx="9">
                  <c:v>10/2025</c:v>
                </c:pt>
                <c:pt idx="10">
                  <c:v>11/2025</c:v>
                </c:pt>
                <c:pt idx="11">
                  <c:v>12/2025</c:v>
                </c:pt>
                <c:pt idx="12">
                  <c:v>01/2026</c:v>
                </c:pt>
                <c:pt idx="13">
                  <c:v>02/2026</c:v>
                </c:pt>
                <c:pt idx="14">
                  <c:v>03/2026</c:v>
                </c:pt>
                <c:pt idx="15">
                  <c:v>04/2026</c:v>
                </c:pt>
                <c:pt idx="16">
                  <c:v>05/2026</c:v>
                </c:pt>
                <c:pt idx="17">
                  <c:v>06/2026</c:v>
                </c:pt>
                <c:pt idx="18">
                  <c:v>07/2026</c:v>
                </c:pt>
                <c:pt idx="19">
                  <c:v>08/2026</c:v>
                </c:pt>
                <c:pt idx="20">
                  <c:v>09/2026</c:v>
                </c:pt>
                <c:pt idx="21">
                  <c:v>10/2026</c:v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Consolidado!$I$14:$I$37</c:f>
              <c:numCache>
                <c:formatCode>"R$ "#,##0.00;"(R$ "#,##0.00\);\-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8304.12</c:v>
                </c:pt>
                <c:pt idx="9">
                  <c:v>25013.34</c:v>
                </c:pt>
                <c:pt idx="10">
                  <c:v>12684.06</c:v>
                </c:pt>
                <c:pt idx="11">
                  <c:v>30988.44</c:v>
                </c:pt>
                <c:pt idx="12">
                  <c:v>37289.7</c:v>
                </c:pt>
                <c:pt idx="13">
                  <c:v>47861.28</c:v>
                </c:pt>
                <c:pt idx="14">
                  <c:v>16054.74</c:v>
                </c:pt>
                <c:pt idx="15">
                  <c:v>22144.32</c:v>
                </c:pt>
                <c:pt idx="16">
                  <c:v>76109.22</c:v>
                </c:pt>
                <c:pt idx="17">
                  <c:v>86011.74</c:v>
                </c:pt>
                <c:pt idx="18">
                  <c:v>54275.94</c:v>
                </c:pt>
                <c:pt idx="19">
                  <c:v>52903.8</c:v>
                </c:pt>
                <c:pt idx="20">
                  <c:v>37456.56</c:v>
                </c:pt>
                <c:pt idx="21">
                  <c:v>5931.36</c:v>
                </c:pt>
              </c:numCache>
            </c:numRef>
          </c:val>
        </c:ser>
        <c:ser>
          <c:idx val="2"/>
          <c:order val="2"/>
          <c:tx>
            <c:strRef>
              <c:f>"Marketing"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rgbClr val="1baf7a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Consolidado!$A$14:$A$37</c:f>
              <c:strCache>
                <c:ptCount val="24"/>
                <c:pt idx="0">
                  <c:v>01/2025</c:v>
                </c:pt>
                <c:pt idx="1">
                  <c:v>02/2025</c:v>
                </c:pt>
                <c:pt idx="2">
                  <c:v>03/2025</c:v>
                </c:pt>
                <c:pt idx="3">
                  <c:v>04/2025</c:v>
                </c:pt>
                <c:pt idx="4">
                  <c:v>05/2025</c:v>
                </c:pt>
                <c:pt idx="5">
                  <c:v>06/2025</c:v>
                </c:pt>
                <c:pt idx="6">
                  <c:v>07/2025</c:v>
                </c:pt>
                <c:pt idx="7">
                  <c:v>08/2025</c:v>
                </c:pt>
                <c:pt idx="8">
                  <c:v>09/2025</c:v>
                </c:pt>
                <c:pt idx="9">
                  <c:v>10/2025</c:v>
                </c:pt>
                <c:pt idx="10">
                  <c:v>11/2025</c:v>
                </c:pt>
                <c:pt idx="11">
                  <c:v>12/2025</c:v>
                </c:pt>
                <c:pt idx="12">
                  <c:v>01/2026</c:v>
                </c:pt>
                <c:pt idx="13">
                  <c:v>02/2026</c:v>
                </c:pt>
                <c:pt idx="14">
                  <c:v>03/2026</c:v>
                </c:pt>
                <c:pt idx="15">
                  <c:v>04/2026</c:v>
                </c:pt>
                <c:pt idx="16">
                  <c:v>05/2026</c:v>
                </c:pt>
                <c:pt idx="17">
                  <c:v>06/2026</c:v>
                </c:pt>
                <c:pt idx="18">
                  <c:v>07/2026</c:v>
                </c:pt>
                <c:pt idx="19">
                  <c:v>08/2026</c:v>
                </c:pt>
                <c:pt idx="20">
                  <c:v>09/2026</c:v>
                </c:pt>
                <c:pt idx="21">
                  <c:v>10/2026</c:v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Consolidado!$J$14:$J$37</c:f>
              <c:numCache>
                <c:formatCode>"R$ "#,##0.00;"(R$ "#,##0.00\);\-</c:formatCode>
                <c:ptCount val="24"/>
                <c:pt idx="0">
                  <c:v>18922.2</c:v>
                </c:pt>
                <c:pt idx="1">
                  <c:v>21439.2</c:v>
                </c:pt>
                <c:pt idx="2">
                  <c:v>34146</c:v>
                </c:pt>
                <c:pt idx="3">
                  <c:v>42694.8</c:v>
                </c:pt>
                <c:pt idx="4">
                  <c:v>69964.8</c:v>
                </c:pt>
                <c:pt idx="5">
                  <c:v>46954.8</c:v>
                </c:pt>
                <c:pt idx="6">
                  <c:v>23201.4</c:v>
                </c:pt>
                <c:pt idx="7">
                  <c:v>17651.4</c:v>
                </c:pt>
                <c:pt idx="8">
                  <c:v>26700</c:v>
                </c:pt>
                <c:pt idx="9">
                  <c:v>7.2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1318.8</c:v>
                </c:pt>
                <c:pt idx="18">
                  <c:v>1.2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</c:ser>
        <c:gapWidth val="40"/>
        <c:overlap val="100"/>
        <c:axId val="7024605"/>
        <c:axId val="99599085"/>
      </c:barChart>
      <c:catAx>
        <c:axId val="7024605"/>
        <c:scaling>
          <c:orientation val="minMax"/>
        </c:scaling>
        <c:delete val="0"/>
        <c:axPos val="b"/>
        <c:numFmt formatCode="mm/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599085"/>
        <c:crosses val="autoZero"/>
        <c:auto val="1"/>
        <c:lblAlgn val="ctr"/>
        <c:lblOffset val="100"/>
        <c:noMultiLvlLbl val="0"/>
      </c:catAx>
      <c:valAx>
        <c:axId val="99599085"/>
        <c:scaling>
          <c:orientation val="minMax"/>
        </c:scaling>
        <c:delete val="0"/>
        <c:axPos val="l"/>
        <c:majorGridlines>
          <c:spPr>
            <a:ln w="9360">
              <a:solidFill>
                <a:srgbClr val="e5e5e5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2460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Disparos por mês,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"Utilidade"</c:f>
              <c:strCache>
                <c:ptCount val="1"/>
                <c:pt idx="0">
                  <c:v>Utilidade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Consolidado!$A$14:$A$37</c:f>
              <c:strCache>
                <c:ptCount val="24"/>
                <c:pt idx="0">
                  <c:v>01/2025</c:v>
                </c:pt>
                <c:pt idx="1">
                  <c:v>02/2025</c:v>
                </c:pt>
                <c:pt idx="2">
                  <c:v>03/2025</c:v>
                </c:pt>
                <c:pt idx="3">
                  <c:v>04/2025</c:v>
                </c:pt>
                <c:pt idx="4">
                  <c:v>05/2025</c:v>
                </c:pt>
                <c:pt idx="5">
                  <c:v>06/2025</c:v>
                </c:pt>
                <c:pt idx="6">
                  <c:v>07/2025</c:v>
                </c:pt>
                <c:pt idx="7">
                  <c:v>08/2025</c:v>
                </c:pt>
                <c:pt idx="8">
                  <c:v>09/2025</c:v>
                </c:pt>
                <c:pt idx="9">
                  <c:v>10/2025</c:v>
                </c:pt>
                <c:pt idx="10">
                  <c:v>11/2025</c:v>
                </c:pt>
                <c:pt idx="11">
                  <c:v>12/2025</c:v>
                </c:pt>
                <c:pt idx="12">
                  <c:v>01/2026</c:v>
                </c:pt>
                <c:pt idx="13">
                  <c:v>02/2026</c:v>
                </c:pt>
                <c:pt idx="14">
                  <c:v>03/2026</c:v>
                </c:pt>
                <c:pt idx="15">
                  <c:v>04/2026</c:v>
                </c:pt>
                <c:pt idx="16">
                  <c:v>05/2026</c:v>
                </c:pt>
                <c:pt idx="17">
                  <c:v>06/2026</c:v>
                </c:pt>
                <c:pt idx="18">
                  <c:v>07/2026</c:v>
                </c:pt>
                <c:pt idx="19">
                  <c:v>08/2026</c:v>
                </c:pt>
                <c:pt idx="20">
                  <c:v>09/2026</c:v>
                </c:pt>
                <c:pt idx="21">
                  <c:v>10/2026</c:v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Consolidado!$C$14:$C$37</c:f>
              <c:numCache>
                <c:formatCode>#,##0;\(#,##0\);\-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170749</c:v>
                </c:pt>
                <c:pt idx="21">
                  <c:v>160207</c:v>
                </c:pt>
              </c:numCache>
            </c:numRef>
          </c:val>
        </c:ser>
        <c:ser>
          <c:idx val="1"/>
          <c:order val="1"/>
          <c:tx>
            <c:strRef>
              <c:f>"Marketing Lite"</c:f>
              <c:strCache>
                <c:ptCount val="1"/>
                <c:pt idx="0">
                  <c:v>Marketing Lite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Consolidado!$A$14:$A$37</c:f>
              <c:strCache>
                <c:ptCount val="24"/>
                <c:pt idx="0">
                  <c:v>01/2025</c:v>
                </c:pt>
                <c:pt idx="1">
                  <c:v>02/2025</c:v>
                </c:pt>
                <c:pt idx="2">
                  <c:v>03/2025</c:v>
                </c:pt>
                <c:pt idx="3">
                  <c:v>04/2025</c:v>
                </c:pt>
                <c:pt idx="4">
                  <c:v>05/2025</c:v>
                </c:pt>
                <c:pt idx="5">
                  <c:v>06/2025</c:v>
                </c:pt>
                <c:pt idx="6">
                  <c:v>07/2025</c:v>
                </c:pt>
                <c:pt idx="7">
                  <c:v>08/2025</c:v>
                </c:pt>
                <c:pt idx="8">
                  <c:v>09/2025</c:v>
                </c:pt>
                <c:pt idx="9">
                  <c:v>10/2025</c:v>
                </c:pt>
                <c:pt idx="10">
                  <c:v>11/2025</c:v>
                </c:pt>
                <c:pt idx="11">
                  <c:v>12/2025</c:v>
                </c:pt>
                <c:pt idx="12">
                  <c:v>01/2026</c:v>
                </c:pt>
                <c:pt idx="13">
                  <c:v>02/2026</c:v>
                </c:pt>
                <c:pt idx="14">
                  <c:v>03/2026</c:v>
                </c:pt>
                <c:pt idx="15">
                  <c:v>04/2026</c:v>
                </c:pt>
                <c:pt idx="16">
                  <c:v>05/2026</c:v>
                </c:pt>
                <c:pt idx="17">
                  <c:v>06/2026</c:v>
                </c:pt>
                <c:pt idx="18">
                  <c:v>07/2026</c:v>
                </c:pt>
                <c:pt idx="19">
                  <c:v>08/2026</c:v>
                </c:pt>
                <c:pt idx="20">
                  <c:v>09/2026</c:v>
                </c:pt>
                <c:pt idx="21">
                  <c:v>10/2026</c:v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Consolidado!$D$14:$D$37</c:f>
              <c:numCache>
                <c:formatCode>#,##0;\(#,##0\);\-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15378</c:v>
                </c:pt>
                <c:pt idx="9">
                  <c:v>46321</c:v>
                </c:pt>
                <c:pt idx="10">
                  <c:v>23489</c:v>
                </c:pt>
                <c:pt idx="11">
                  <c:v>57386</c:v>
                </c:pt>
                <c:pt idx="12">
                  <c:v>69055</c:v>
                </c:pt>
                <c:pt idx="13">
                  <c:v>88632</c:v>
                </c:pt>
                <c:pt idx="14">
                  <c:v>29731</c:v>
                </c:pt>
                <c:pt idx="15">
                  <c:v>41008</c:v>
                </c:pt>
                <c:pt idx="16">
                  <c:v>140943</c:v>
                </c:pt>
                <c:pt idx="17">
                  <c:v>159281</c:v>
                </c:pt>
                <c:pt idx="18">
                  <c:v>100511</c:v>
                </c:pt>
                <c:pt idx="19">
                  <c:v>97970</c:v>
                </c:pt>
                <c:pt idx="20">
                  <c:v>69364</c:v>
                </c:pt>
                <c:pt idx="21">
                  <c:v>10984</c:v>
                </c:pt>
              </c:numCache>
            </c:numRef>
          </c:val>
        </c:ser>
        <c:ser>
          <c:idx val="2"/>
          <c:order val="2"/>
          <c:tx>
            <c:strRef>
              <c:f>"Marketing"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rgbClr val="1baf7a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Consolidado!$A$14:$A$37</c:f>
              <c:strCache>
                <c:ptCount val="24"/>
                <c:pt idx="0">
                  <c:v>01/2025</c:v>
                </c:pt>
                <c:pt idx="1">
                  <c:v>02/2025</c:v>
                </c:pt>
                <c:pt idx="2">
                  <c:v>03/2025</c:v>
                </c:pt>
                <c:pt idx="3">
                  <c:v>04/2025</c:v>
                </c:pt>
                <c:pt idx="4">
                  <c:v>05/2025</c:v>
                </c:pt>
                <c:pt idx="5">
                  <c:v>06/2025</c:v>
                </c:pt>
                <c:pt idx="6">
                  <c:v>07/2025</c:v>
                </c:pt>
                <c:pt idx="7">
                  <c:v>08/2025</c:v>
                </c:pt>
                <c:pt idx="8">
                  <c:v>09/2025</c:v>
                </c:pt>
                <c:pt idx="9">
                  <c:v>10/2025</c:v>
                </c:pt>
                <c:pt idx="10">
                  <c:v>11/2025</c:v>
                </c:pt>
                <c:pt idx="11">
                  <c:v>12/2025</c:v>
                </c:pt>
                <c:pt idx="12">
                  <c:v>01/2026</c:v>
                </c:pt>
                <c:pt idx="13">
                  <c:v>02/2026</c:v>
                </c:pt>
                <c:pt idx="14">
                  <c:v>03/2026</c:v>
                </c:pt>
                <c:pt idx="15">
                  <c:v>04/2026</c:v>
                </c:pt>
                <c:pt idx="16">
                  <c:v>05/2026</c:v>
                </c:pt>
                <c:pt idx="17">
                  <c:v>06/2026</c:v>
                </c:pt>
                <c:pt idx="18">
                  <c:v>07/2026</c:v>
                </c:pt>
                <c:pt idx="19">
                  <c:v>08/2026</c:v>
                </c:pt>
                <c:pt idx="20">
                  <c:v>09/2026</c:v>
                </c:pt>
                <c:pt idx="21">
                  <c:v>10/2026</c:v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Consolidado!$E$14:$E$37</c:f>
              <c:numCache>
                <c:formatCode>#,##0;\(#,##0\);\-</c:formatCode>
                <c:ptCount val="24"/>
                <c:pt idx="0">
                  <c:v>31537</c:v>
                </c:pt>
                <c:pt idx="1">
                  <c:v>35732</c:v>
                </c:pt>
                <c:pt idx="2">
                  <c:v>56910</c:v>
                </c:pt>
                <c:pt idx="3">
                  <c:v>71158</c:v>
                </c:pt>
                <c:pt idx="4">
                  <c:v>116608</c:v>
                </c:pt>
                <c:pt idx="5">
                  <c:v>78258</c:v>
                </c:pt>
                <c:pt idx="6">
                  <c:v>38669</c:v>
                </c:pt>
                <c:pt idx="7">
                  <c:v>29419</c:v>
                </c:pt>
                <c:pt idx="8">
                  <c:v>44500</c:v>
                </c:pt>
                <c:pt idx="9">
                  <c:v>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2198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</c:ser>
        <c:gapWidth val="40"/>
        <c:overlap val="100"/>
        <c:axId val="78515530"/>
        <c:axId val="54028488"/>
      </c:barChart>
      <c:catAx>
        <c:axId val="78515530"/>
        <c:scaling>
          <c:orientation val="minMax"/>
        </c:scaling>
        <c:delete val="0"/>
        <c:axPos val="b"/>
        <c:numFmt formatCode="mm/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028488"/>
        <c:crosses val="autoZero"/>
        <c:auto val="1"/>
        <c:lblAlgn val="ctr"/>
        <c:lblOffset val="100"/>
        <c:noMultiLvlLbl val="0"/>
      </c:catAx>
      <c:valAx>
        <c:axId val="54028488"/>
        <c:scaling>
          <c:orientation val="minMax"/>
        </c:scaling>
        <c:delete val="0"/>
        <c:axPos val="l"/>
        <c:majorGridlines>
          <c:spPr>
            <a:ln w="9360">
              <a:solidFill>
                <a:srgbClr val="e5e5e5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51553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17</xdr:col>
      <xdr:colOff>403920</xdr:colOff>
      <xdr:row>20</xdr:row>
      <xdr:rowOff>151560</xdr:rowOff>
    </xdr:to>
    <xdr:graphicFrame>
      <xdr:nvGraphicFramePr>
        <xdr:cNvPr id="0" name="Chart 1"/>
        <xdr:cNvGraphicFramePr/>
      </xdr:nvGraphicFramePr>
      <xdr:xfrm>
        <a:off x="0" y="571680"/>
        <a:ext cx="107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160560</xdr:rowOff>
    </xdr:from>
    <xdr:to>
      <xdr:col>17</xdr:col>
      <xdr:colOff>403920</xdr:colOff>
      <xdr:row>40</xdr:row>
      <xdr:rowOff>151200</xdr:rowOff>
    </xdr:to>
    <xdr:graphicFrame>
      <xdr:nvGraphicFramePr>
        <xdr:cNvPr id="1" name="Chart 2"/>
        <xdr:cNvGraphicFramePr/>
      </xdr:nvGraphicFramePr>
      <xdr:xfrm>
        <a:off x="0" y="4381560"/>
        <a:ext cx="107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4"/>
    <col collapsed="false" customWidth="true" hidden="false" outlineLevel="0" max="3" min="3" style="1" width="60"/>
    <col collapsed="false" customWidth="true" hidden="false" outlineLevel="0" max="6" min="4" style="1" width="16"/>
  </cols>
  <sheetData>
    <row r="1" customFormat="false" ht="40.5" hidden="false" customHeight="true" outlineLevel="0" collapsed="false">
      <c r="A1" s="2" t="s">
        <v>0</v>
      </c>
      <c r="B1" s="2"/>
      <c r="C1" s="2"/>
    </row>
    <row r="2" customFormat="false" ht="14.25" hidden="false" customHeight="true" outlineLevel="0" collapsed="false">
      <c r="A2" s="2"/>
      <c r="B2" s="2"/>
      <c r="C2" s="2"/>
    </row>
    <row r="3" customFormat="false" ht="31.5" hidden="false" customHeight="true" outlineLevel="0" collapsed="false">
      <c r="A3" s="3" t="s">
        <v>1</v>
      </c>
      <c r="B3" s="3"/>
      <c r="C3" s="4" t="s">
        <v>2</v>
      </c>
    </row>
    <row r="4" customFormat="false" ht="14.25" hidden="false" customHeight="true" outlineLevel="0" collapsed="false">
      <c r="A4" s="5" t="s">
        <v>3</v>
      </c>
      <c r="B4" s="5"/>
      <c r="C4" s="6" t="n">
        <v>0.09</v>
      </c>
    </row>
    <row r="5" customFormat="false" ht="14.25" hidden="false" customHeight="true" outlineLevel="0" collapsed="false">
      <c r="A5" s="5" t="s">
        <v>4</v>
      </c>
      <c r="B5" s="5"/>
      <c r="C5" s="6" t="n">
        <v>0.54</v>
      </c>
    </row>
    <row r="6" customFormat="false" ht="14.25" hidden="false" customHeight="true" outlineLevel="0" collapsed="false">
      <c r="A6" s="5" t="s">
        <v>5</v>
      </c>
      <c r="B6" s="5"/>
      <c r="C6" s="6" t="n">
        <v>0.6</v>
      </c>
    </row>
    <row r="7" customFormat="false" ht="15" hidden="false" customHeight="true" outlineLevel="0" collapsed="false">
      <c r="A7" s="7" t="s">
        <v>6</v>
      </c>
      <c r="B7" s="7"/>
      <c r="C7" s="8" t="n">
        <v>0</v>
      </c>
    </row>
    <row r="9" customFormat="false" ht="14.25" hidden="false" customHeight="true" outlineLevel="0" collapsed="false">
      <c r="A9" s="9" t="s">
        <v>7</v>
      </c>
      <c r="C9" s="10" t="n">
        <v>46296</v>
      </c>
    </row>
    <row r="10" customFormat="false" ht="14.25" hidden="false" customHeight="true" outlineLevel="0" collapsed="false">
      <c r="A10" s="9" t="s">
        <v>8</v>
      </c>
      <c r="C10" s="10" t="n">
        <v>46301</v>
      </c>
    </row>
    <row r="12" customFormat="false" ht="14.25" hidden="false" customHeight="true" outlineLevel="0" collapsed="false">
      <c r="A12" s="11" t="s">
        <v>9</v>
      </c>
    </row>
    <row r="13" customFormat="false" ht="30" hidden="false" customHeight="true" outlineLevel="0" collapsed="false">
      <c r="A13" s="12" t="s">
        <v>10</v>
      </c>
      <c r="B13" s="12" t="s">
        <v>11</v>
      </c>
      <c r="C13" s="12" t="s">
        <v>12</v>
      </c>
      <c r="D13" s="12" t="s">
        <v>3</v>
      </c>
      <c r="E13" s="12" t="s">
        <v>4</v>
      </c>
      <c r="F13" s="12" t="s">
        <v>13</v>
      </c>
    </row>
    <row r="14" customFormat="false" ht="14.25" hidden="false" customHeight="true" outlineLevel="0" collapsed="false">
      <c r="A14" s="13" t="s">
        <v>14</v>
      </c>
      <c r="B14" s="14" t="n">
        <f aca="false">SUM(D14:F14)</f>
        <v>34462</v>
      </c>
      <c r="C14" s="15" t="n">
        <f aca="false">IF($B$17=0,0,B14/$B$17)</f>
        <v>0.176584221071024</v>
      </c>
      <c r="D14" s="16" t="n">
        <v>29153</v>
      </c>
      <c r="E14" s="16" t="n">
        <v>5309</v>
      </c>
      <c r="F14" s="16" t="n">
        <v>0</v>
      </c>
    </row>
    <row r="15" customFormat="false" ht="14.25" hidden="false" customHeight="true" outlineLevel="0" collapsed="false">
      <c r="A15" s="13" t="s">
        <v>15</v>
      </c>
      <c r="B15" s="14" t="n">
        <f aca="false">SUM(D15:F15)</f>
        <v>137281</v>
      </c>
      <c r="C15" s="15" t="n">
        <f aca="false">IF($B$17=0,0,B15/$B$17)</f>
        <v>0.703431560932368</v>
      </c>
      <c r="D15" s="16" t="n">
        <v>127788</v>
      </c>
      <c r="E15" s="16" t="n">
        <v>5675</v>
      </c>
      <c r="F15" s="16" t="n">
        <v>3818</v>
      </c>
    </row>
    <row r="16" customFormat="false" ht="14.25" hidden="false" customHeight="true" outlineLevel="0" collapsed="false">
      <c r="A16" s="13" t="s">
        <v>16</v>
      </c>
      <c r="B16" s="14" t="n">
        <f aca="false">SUM(D16:F16)</f>
        <v>23416</v>
      </c>
      <c r="C16" s="15" t="n">
        <f aca="false">IF($B$17=0,0,B16/$B$17)</f>
        <v>0.119984217996608</v>
      </c>
      <c r="D16" s="16" t="n">
        <v>20708</v>
      </c>
      <c r="E16" s="16" t="n">
        <v>0</v>
      </c>
      <c r="F16" s="16" t="n">
        <v>2708</v>
      </c>
    </row>
    <row r="17" customFormat="false" ht="14.25" hidden="false" customHeight="true" outlineLevel="0" collapsed="false">
      <c r="A17" s="17" t="s">
        <v>17</v>
      </c>
      <c r="B17" s="17" t="n">
        <f aca="false">SUM(B14:B16)</f>
        <v>195159</v>
      </c>
      <c r="C17" s="18" t="n">
        <f aca="false">SUM(C14:C16)</f>
        <v>1</v>
      </c>
      <c r="D17" s="17" t="n">
        <f aca="false">SUM(D14:D16)</f>
        <v>177649</v>
      </c>
      <c r="E17" s="17" t="n">
        <f aca="false">SUM(E14:E16)</f>
        <v>10984</v>
      </c>
      <c r="F17" s="17" t="n">
        <f aca="false">SUM(F14:F16)</f>
        <v>6526</v>
      </c>
    </row>
    <row r="19" customFormat="false" ht="14.25" hidden="false" customHeight="true" outlineLevel="0" collapsed="false">
      <c r="A19" s="19" t="s">
        <v>18</v>
      </c>
    </row>
    <row r="20" customFormat="false" ht="14.25" hidden="false" customHeight="true" outlineLevel="0" collapsed="false">
      <c r="A20" s="19" t="s">
        <v>19</v>
      </c>
    </row>
    <row r="22" customFormat="false" ht="14.25" hidden="false" customHeight="false" outlineLevel="0" collapsed="false">
      <c r="A22" s="20" t="s">
        <v>20</v>
      </c>
    </row>
  </sheetData>
  <mergeCells count="6">
    <mergeCell ref="A1:C2"/>
    <mergeCell ref="A3:B3"/>
    <mergeCell ref="A4:B4"/>
    <mergeCell ref="A5:B5"/>
    <mergeCell ref="A6:B6"/>
    <mergeCell ref="A7:B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F30" activeCellId="0" sqref="F30"/>
    </sheetView>
  </sheetViews>
  <sheetFormatPr defaultColWidth="8.6328125" defaultRowHeight="14.25" zeroHeight="false" outlineLevelRow="0" outlineLevelCol="0"/>
  <cols>
    <col collapsed="false" customWidth="true" hidden="false" outlineLevel="0" max="4" min="1" style="1" width="14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12"/>
  </cols>
  <sheetData>
    <row r="1" customFormat="false" ht="18" hidden="false" customHeight="true" outlineLevel="0" collapsed="false">
      <c r="A1" s="21" t="s">
        <v>21</v>
      </c>
      <c r="B1" s="21"/>
      <c r="C1" s="21"/>
      <c r="D1" s="21"/>
      <c r="E1" s="21"/>
      <c r="F1" s="21"/>
      <c r="G1" s="21"/>
      <c r="H1" s="21"/>
    </row>
    <row r="2" customFormat="false" ht="14.25" hidden="false" customHeight="true" outlineLevel="0" collapsed="false">
      <c r="A2" s="21"/>
      <c r="B2" s="21"/>
      <c r="C2" s="21"/>
      <c r="D2" s="21"/>
      <c r="E2" s="21"/>
      <c r="F2" s="21"/>
      <c r="G2" s="21"/>
      <c r="H2" s="21"/>
    </row>
    <row r="3" customFormat="false" ht="14.25" hidden="false" customHeight="true" outlineLevel="0" collapsed="false">
      <c r="A3" s="21"/>
      <c r="B3" s="21"/>
      <c r="C3" s="21"/>
      <c r="D3" s="21"/>
      <c r="E3" s="21"/>
      <c r="F3" s="21"/>
      <c r="G3" s="21"/>
      <c r="H3" s="21"/>
    </row>
    <row r="4" customFormat="false" ht="31.5" hidden="false" customHeight="true" outlineLevel="0" collapsed="false">
      <c r="A4" s="22" t="s">
        <v>22</v>
      </c>
      <c r="B4" s="22" t="s">
        <v>3</v>
      </c>
      <c r="C4" s="22" t="s">
        <v>6</v>
      </c>
      <c r="D4" s="22" t="s">
        <v>5</v>
      </c>
      <c r="E4" s="22" t="s">
        <v>4</v>
      </c>
      <c r="F4" s="22" t="s">
        <v>23</v>
      </c>
      <c r="G4" s="22" t="s">
        <v>24</v>
      </c>
      <c r="H4" s="22" t="s">
        <v>25</v>
      </c>
    </row>
    <row r="5" customFormat="false" ht="14.25" hidden="false" customHeight="true" outlineLevel="0" collapsed="false">
      <c r="A5" s="23" t="n">
        <v>46296</v>
      </c>
      <c r="B5" s="24" t="n">
        <v>32</v>
      </c>
      <c r="C5" s="24" t="n">
        <v>0</v>
      </c>
      <c r="D5" s="24" t="n">
        <v>0</v>
      </c>
      <c r="E5" s="24" t="n">
        <v>3</v>
      </c>
      <c r="F5" s="25" t="n">
        <f aca="false">IF(A5="","",SUM(B5:E5))</f>
        <v>35</v>
      </c>
      <c r="G5" s="26" t="n">
        <f aca="false">IF(A5="","",B5*Premissas!$C$4+C5*Premissas!$C$7+D5*Premissas!$C$6+E5*Premissas!$C$5)</f>
        <v>4.5</v>
      </c>
      <c r="H5" s="27" t="n">
        <f aca="false">IF(A5="","",DATE(YEAR(A5),MONTH(A5),1))</f>
        <v>46296</v>
      </c>
    </row>
    <row r="6" customFormat="false" ht="14.25" hidden="false" customHeight="true" outlineLevel="0" collapsed="false">
      <c r="A6" s="23" t="n">
        <v>46297</v>
      </c>
      <c r="B6" s="24" t="n">
        <v>9012</v>
      </c>
      <c r="C6" s="24" t="n">
        <v>0</v>
      </c>
      <c r="D6" s="24" t="n">
        <v>0</v>
      </c>
      <c r="E6" s="24" t="n">
        <v>2</v>
      </c>
      <c r="F6" s="25" t="n">
        <f aca="false">IF(A6="","",SUM(B6:E6))</f>
        <v>9014</v>
      </c>
      <c r="G6" s="26" t="n">
        <f aca="false">IF(A6="","",B6*Premissas!$C$4+C6*Premissas!$C$7+D6*Premissas!$C$6+E6*Premissas!$C$5)</f>
        <v>812.16</v>
      </c>
      <c r="H6" s="27" t="n">
        <f aca="false">IF(A6="","",DATE(YEAR(A6),MONTH(A6),1))</f>
        <v>46296</v>
      </c>
    </row>
    <row r="7" customFormat="false" ht="14.25" hidden="false" customHeight="true" outlineLevel="0" collapsed="false">
      <c r="A7" s="23" t="n">
        <v>46298</v>
      </c>
      <c r="B7" s="24" t="n">
        <v>10694</v>
      </c>
      <c r="C7" s="24" t="n">
        <v>0</v>
      </c>
      <c r="D7" s="24" t="n">
        <v>0</v>
      </c>
      <c r="E7" s="24" t="n">
        <v>1</v>
      </c>
      <c r="F7" s="25" t="n">
        <f aca="false">IF(A7="","",SUM(B7:E7))</f>
        <v>10695</v>
      </c>
      <c r="G7" s="26" t="n">
        <f aca="false">IF(A7="","",B7*Premissas!$C$4+C7*Premissas!$C$7+D7*Premissas!$C$6+E7*Premissas!$C$5)</f>
        <v>963</v>
      </c>
      <c r="H7" s="27" t="n">
        <f aca="false">IF(A7="","",DATE(YEAR(A7),MONTH(A7),1))</f>
        <v>46296</v>
      </c>
    </row>
    <row r="8" customFormat="false" ht="14.25" hidden="false" customHeight="true" outlineLevel="0" collapsed="false">
      <c r="A8" s="23" t="n">
        <v>46299</v>
      </c>
      <c r="B8" s="24" t="n">
        <v>13503</v>
      </c>
      <c r="C8" s="24" t="n">
        <v>0</v>
      </c>
      <c r="D8" s="24" t="n">
        <v>0</v>
      </c>
      <c r="E8" s="24" t="n">
        <v>1</v>
      </c>
      <c r="F8" s="25" t="n">
        <f aca="false">IF(A8="","",SUM(B8:E8))</f>
        <v>13504</v>
      </c>
      <c r="G8" s="26" t="n">
        <f aca="false">IF(A8="","",B8*Premissas!$C$4+C8*Premissas!$C$7+D8*Premissas!$C$6+E8*Premissas!$C$5)</f>
        <v>1215.81</v>
      </c>
      <c r="H8" s="27" t="n">
        <f aca="false">IF(A8="","",DATE(YEAR(A8),MONTH(A8),1))</f>
        <v>46296</v>
      </c>
    </row>
    <row r="9" customFormat="false" ht="14.25" hidden="false" customHeight="true" outlineLevel="0" collapsed="false">
      <c r="A9" s="23" t="n">
        <v>46300</v>
      </c>
      <c r="B9" s="24" t="n">
        <v>21812</v>
      </c>
      <c r="C9" s="24" t="n">
        <v>0</v>
      </c>
      <c r="D9" s="24" t="n">
        <v>0</v>
      </c>
      <c r="E9" s="24" t="n">
        <v>0</v>
      </c>
      <c r="F9" s="25" t="n">
        <f aca="false">IF(A9="","",SUM(B9:E9))</f>
        <v>21812</v>
      </c>
      <c r="G9" s="26" t="n">
        <f aca="false">IF(A9="","",B9*Premissas!$C$4+C9*Premissas!$C$7+D9*Premissas!$C$6+E9*Premissas!$C$5)</f>
        <v>1963.08</v>
      </c>
      <c r="H9" s="27" t="n">
        <f aca="false">IF(A9="","",DATE(YEAR(A9),MONTH(A9),1))</f>
        <v>46296</v>
      </c>
    </row>
    <row r="10" customFormat="false" ht="14.25" hidden="false" customHeight="true" outlineLevel="0" collapsed="false">
      <c r="A10" s="23" t="n">
        <v>46301</v>
      </c>
      <c r="B10" s="24" t="n">
        <v>27289</v>
      </c>
      <c r="C10" s="24" t="n">
        <v>0</v>
      </c>
      <c r="D10" s="24" t="n">
        <v>0</v>
      </c>
      <c r="E10" s="24" t="n">
        <v>9332</v>
      </c>
      <c r="F10" s="25" t="n">
        <f aca="false">IF(A10="","",SUM(B10:E10))</f>
        <v>36621</v>
      </c>
      <c r="G10" s="26" t="n">
        <f aca="false">IF(A10="","",B10*Premissas!$C$4+C10*Premissas!$C$7+D10*Premissas!$C$6+E10*Premissas!$C$5)</f>
        <v>7495.29</v>
      </c>
      <c r="H10" s="27" t="n">
        <f aca="false">IF(A10="","",DATE(YEAR(A10),MONTH(A10),1))</f>
        <v>46296</v>
      </c>
      <c r="I10" s="1" t="s">
        <v>26</v>
      </c>
    </row>
    <row r="11" customFormat="false" ht="14.25" hidden="false" customHeight="true" outlineLevel="0" collapsed="false">
      <c r="A11" s="23" t="n">
        <v>46302</v>
      </c>
      <c r="B11" s="24" t="n">
        <v>36873</v>
      </c>
      <c r="C11" s="24" t="n">
        <v>0</v>
      </c>
      <c r="D11" s="24" t="n">
        <v>0</v>
      </c>
      <c r="E11" s="24" t="n">
        <v>63</v>
      </c>
      <c r="F11" s="25" t="n">
        <f aca="false">IF(A11="","",SUM(B11:E11))</f>
        <v>36936</v>
      </c>
      <c r="G11" s="26" t="n">
        <f aca="false">IF(A11="","",B11*Premissas!$C$4+C11*Premissas!$C$7+D11*Premissas!$C$6+E11*Premissas!$C$5)</f>
        <v>3352.59</v>
      </c>
      <c r="H11" s="27" t="n">
        <f aca="false">IF(A11="","",DATE(YEAR(A11),MONTH(A11),1))</f>
        <v>46296</v>
      </c>
    </row>
    <row r="12" customFormat="false" ht="14.25" hidden="false" customHeight="true" outlineLevel="0" collapsed="false">
      <c r="A12" s="23" t="n">
        <v>46303</v>
      </c>
      <c r="B12" s="24" t="n">
        <v>12063</v>
      </c>
      <c r="C12" s="24" t="n">
        <v>0</v>
      </c>
      <c r="D12" s="24" t="n">
        <v>0</v>
      </c>
      <c r="E12" s="24" t="n">
        <v>9</v>
      </c>
      <c r="F12" s="25" t="n">
        <f aca="false">IF(A12="","",SUM(B12:E12))</f>
        <v>12072</v>
      </c>
      <c r="G12" s="26" t="n">
        <f aca="false">IF(A12="","",B12*Premissas!$C$4+C12*Premissas!$C$7+D12*Premissas!$C$6+E12*Premissas!$C$5)</f>
        <v>1090.53</v>
      </c>
      <c r="H12" s="27" t="n">
        <f aca="false">IF(A12="","",DATE(YEAR(A12),MONTH(A12),1))</f>
        <v>46296</v>
      </c>
    </row>
    <row r="13" customFormat="false" ht="14.25" hidden="false" customHeight="true" outlineLevel="0" collapsed="false">
      <c r="A13" s="23" t="n">
        <v>46304</v>
      </c>
      <c r="B13" s="24" t="n">
        <v>95</v>
      </c>
      <c r="C13" s="24" t="n">
        <v>0</v>
      </c>
      <c r="D13" s="24" t="n">
        <v>0</v>
      </c>
      <c r="E13" s="24" t="n">
        <v>4</v>
      </c>
      <c r="F13" s="25" t="n">
        <f aca="false">IF(A13="","",SUM(B13:E13))</f>
        <v>99</v>
      </c>
      <c r="G13" s="26" t="n">
        <f aca="false">IF(A13="","",B13*Premissas!$C$4+C13*Premissas!$C$7+D13*Premissas!$C$6+E13*Premissas!$C$5)</f>
        <v>10.71</v>
      </c>
      <c r="H13" s="27" t="n">
        <f aca="false">IF(A13="","",DATE(YEAR(A13),MONTH(A13),1))</f>
        <v>46296</v>
      </c>
    </row>
    <row r="14" customFormat="false" ht="14.25" hidden="false" customHeight="true" outlineLevel="0" collapsed="false">
      <c r="A14" s="23" t="n">
        <v>46305</v>
      </c>
      <c r="B14" s="24" t="n">
        <v>5185</v>
      </c>
      <c r="C14" s="24" t="n">
        <v>0</v>
      </c>
      <c r="D14" s="24" t="n">
        <v>0</v>
      </c>
      <c r="E14" s="24" t="n">
        <v>1</v>
      </c>
      <c r="F14" s="25" t="n">
        <f aca="false">IF(A14="","",SUM(B14:E14))</f>
        <v>5186</v>
      </c>
      <c r="G14" s="26" t="n">
        <f aca="false">IF(A14="","",B14*Premissas!$C$4+C14*Premissas!$C$7+D14*Premissas!$C$6+E14*Premissas!$C$5)</f>
        <v>467.19</v>
      </c>
      <c r="H14" s="27" t="n">
        <f aca="false">IF(A14="","",DATE(YEAR(A14),MONTH(A14),1))</f>
        <v>46296</v>
      </c>
    </row>
    <row r="15" customFormat="false" ht="14.25" hidden="false" customHeight="true" outlineLevel="0" collapsed="false">
      <c r="A15" s="23" t="n">
        <v>46306</v>
      </c>
      <c r="B15" s="24" t="n">
        <v>8957</v>
      </c>
      <c r="C15" s="24" t="n">
        <v>0</v>
      </c>
      <c r="D15" s="24" t="n">
        <v>0</v>
      </c>
      <c r="E15" s="24" t="n">
        <v>0</v>
      </c>
      <c r="F15" s="25" t="n">
        <f aca="false">IF(A15="","",SUM(B15:E15))</f>
        <v>8957</v>
      </c>
      <c r="G15" s="26" t="n">
        <f aca="false">IF(A15="","",B15*Premissas!$C$4+C15*Premissas!$C$7+D15*Premissas!$C$6+E15*Premissas!$C$5)</f>
        <v>806.13</v>
      </c>
      <c r="H15" s="27" t="n">
        <f aca="false">IF(A15="","",DATE(YEAR(A15),MONTH(A15),1))</f>
        <v>46296</v>
      </c>
    </row>
    <row r="16" customFormat="false" ht="14.25" hidden="false" customHeight="true" outlineLevel="0" collapsed="false">
      <c r="A16" s="23" t="n">
        <v>46307</v>
      </c>
      <c r="B16" s="24" t="n">
        <v>3558</v>
      </c>
      <c r="C16" s="24" t="n">
        <v>0</v>
      </c>
      <c r="D16" s="24" t="n">
        <v>0</v>
      </c>
      <c r="E16" s="24" t="n">
        <v>1560</v>
      </c>
      <c r="F16" s="25" t="n">
        <f aca="false">IF(A16="","",SUM(B16:E16))</f>
        <v>5118</v>
      </c>
      <c r="G16" s="26" t="n">
        <f aca="false">IF(A16="","",B16*Premissas!$C$4+C16*Premissas!$C$7+D16*Premissas!$C$6+E16*Premissas!$C$5)</f>
        <v>1162.62</v>
      </c>
      <c r="H16" s="27" t="n">
        <f aca="false">IF(A16="","",DATE(YEAR(A16),MONTH(A16),1))</f>
        <v>46296</v>
      </c>
    </row>
    <row r="17" customFormat="false" ht="14.25" hidden="false" customHeight="true" outlineLevel="0" collapsed="false">
      <c r="A17" s="23" t="n">
        <v>46308</v>
      </c>
      <c r="B17" s="24" t="n">
        <v>11134</v>
      </c>
      <c r="C17" s="24" t="n">
        <v>0</v>
      </c>
      <c r="D17" s="24" t="n">
        <v>0</v>
      </c>
      <c r="E17" s="24" t="n">
        <v>8</v>
      </c>
      <c r="F17" s="25" t="n">
        <f aca="false">IF(A17="","",SUM(B17:E17))</f>
        <v>11142</v>
      </c>
      <c r="G17" s="26" t="n">
        <f aca="false">IF(A17="","",B17*Premissas!$C$4+C17*Premissas!$C$7+D17*Premissas!$C$6+E17*Premissas!$C$5)</f>
        <v>1006.38</v>
      </c>
      <c r="H17" s="27" t="n">
        <f aca="false">IF(A17="","",DATE(YEAR(A17),MONTH(A17),1))</f>
        <v>46296</v>
      </c>
    </row>
    <row r="18" customFormat="false" ht="14.25" hidden="false" customHeight="true" outlineLevel="0" collapsed="false">
      <c r="A18" s="23"/>
      <c r="B18" s="24"/>
      <c r="C18" s="24"/>
      <c r="D18" s="24"/>
      <c r="E18" s="24"/>
      <c r="F18" s="25" t="str">
        <f aca="false">IF(A18="","",SUM(B18:E18))</f>
        <v/>
      </c>
      <c r="G18" s="26" t="str">
        <f aca="false">IF(A18="","",B18*Premissas!$C$4+C18*Premissas!$C$7+D18*Premissas!$C$6+E18*Premissas!$C$5)</f>
        <v/>
      </c>
      <c r="H18" s="27" t="str">
        <f aca="false">IF(A18="","",DATE(YEAR(A18),MONTH(A18),1))</f>
        <v/>
      </c>
    </row>
    <row r="19" customFormat="false" ht="14.25" hidden="false" customHeight="true" outlineLevel="0" collapsed="false">
      <c r="A19" s="23"/>
      <c r="B19" s="24"/>
      <c r="C19" s="24"/>
      <c r="D19" s="24"/>
      <c r="E19" s="24"/>
      <c r="F19" s="25" t="str">
        <f aca="false">IF(A19="","",SUM(B19:E19))</f>
        <v/>
      </c>
      <c r="G19" s="26" t="str">
        <f aca="false">IF(A19="","",B19*Premissas!$C$4+C19*Premissas!$C$7+D19*Premissas!$C$6+E19*Premissas!$C$5)</f>
        <v/>
      </c>
      <c r="H19" s="27" t="str">
        <f aca="false">IF(A19="","",DATE(YEAR(A19),MONTH(A19),1))</f>
        <v/>
      </c>
    </row>
    <row r="20" customFormat="false" ht="14.25" hidden="false" customHeight="true" outlineLevel="0" collapsed="false">
      <c r="A20" s="23"/>
      <c r="B20" s="24"/>
      <c r="C20" s="24"/>
      <c r="D20" s="24"/>
      <c r="E20" s="24"/>
      <c r="F20" s="25" t="str">
        <f aca="false">IF(A20="","",SUM(B20:E20))</f>
        <v/>
      </c>
      <c r="G20" s="26" t="str">
        <f aca="false">IF(A20="","",B20*Premissas!$C$4+C20*Premissas!$C$7+D20*Premissas!$C$6+E20*Premissas!$C$5)</f>
        <v/>
      </c>
      <c r="H20" s="27" t="str">
        <f aca="false">IF(A20="","",DATE(YEAR(A20),MONTH(A20),1))</f>
        <v/>
      </c>
    </row>
    <row r="21" customFormat="false" ht="14.25" hidden="false" customHeight="true" outlineLevel="0" collapsed="false">
      <c r="A21" s="23"/>
      <c r="B21" s="24"/>
      <c r="C21" s="24"/>
      <c r="D21" s="24"/>
      <c r="E21" s="24"/>
      <c r="F21" s="25" t="str">
        <f aca="false">IF(A21="","",SUM(B21:E21))</f>
        <v/>
      </c>
      <c r="G21" s="26" t="str">
        <f aca="false">IF(A21="","",B21*Premissas!$C$4+C21*Premissas!$C$7+D21*Premissas!$C$6+E21*Premissas!$C$5)</f>
        <v/>
      </c>
      <c r="H21" s="27" t="str">
        <f aca="false">IF(A21="","",DATE(YEAR(A21),MONTH(A21),1))</f>
        <v/>
      </c>
    </row>
    <row r="22" customFormat="false" ht="14.25" hidden="false" customHeight="true" outlineLevel="0" collapsed="false">
      <c r="A22" s="23"/>
      <c r="B22" s="24"/>
      <c r="C22" s="24"/>
      <c r="D22" s="24"/>
      <c r="E22" s="24"/>
      <c r="F22" s="25" t="str">
        <f aca="false">IF(A22="","",SUM(B22:E22))</f>
        <v/>
      </c>
      <c r="G22" s="26" t="str">
        <f aca="false">IF(A22="","",B22*Premissas!$C$4+C22*Premissas!$C$7+D22*Premissas!$C$6+E22*Premissas!$C$5)</f>
        <v/>
      </c>
      <c r="H22" s="27" t="str">
        <f aca="false">IF(A22="","",DATE(YEAR(A22),MONTH(A22),1))</f>
        <v/>
      </c>
    </row>
    <row r="23" customFormat="false" ht="14.25" hidden="false" customHeight="true" outlineLevel="0" collapsed="false">
      <c r="A23" s="23"/>
      <c r="B23" s="24"/>
      <c r="C23" s="24"/>
      <c r="D23" s="24"/>
      <c r="E23" s="24"/>
      <c r="F23" s="25" t="str">
        <f aca="false">IF(A23="","",SUM(B23:E23))</f>
        <v/>
      </c>
      <c r="G23" s="26" t="str">
        <f aca="false">IF(A23="","",B23*Premissas!$C$4+C23*Premissas!$C$7+D23*Premissas!$C$6+E23*Premissas!$C$5)</f>
        <v/>
      </c>
      <c r="H23" s="27" t="str">
        <f aca="false">IF(A23="","",DATE(YEAR(A23),MONTH(A23),1))</f>
        <v/>
      </c>
    </row>
    <row r="24" customFormat="false" ht="14.25" hidden="false" customHeight="true" outlineLevel="0" collapsed="false">
      <c r="A24" s="23"/>
      <c r="B24" s="24"/>
      <c r="C24" s="24"/>
      <c r="D24" s="24"/>
      <c r="E24" s="24"/>
      <c r="F24" s="25" t="str">
        <f aca="false">IF(A24="","",SUM(B24:E24))</f>
        <v/>
      </c>
      <c r="G24" s="26" t="str">
        <f aca="false">IF(A24="","",B24*Premissas!$C$4+C24*Premissas!$C$7+D24*Premissas!$C$6+E24*Premissas!$C$5)</f>
        <v/>
      </c>
      <c r="H24" s="27" t="str">
        <f aca="false">IF(A24="","",DATE(YEAR(A24),MONTH(A24),1))</f>
        <v/>
      </c>
    </row>
    <row r="25" customFormat="false" ht="14.25" hidden="false" customHeight="true" outlineLevel="0" collapsed="false">
      <c r="A25" s="23"/>
      <c r="B25" s="24"/>
      <c r="C25" s="24"/>
      <c r="D25" s="24"/>
      <c r="E25" s="24"/>
      <c r="F25" s="25" t="str">
        <f aca="false">IF(A25="","",SUM(B25:E25))</f>
        <v/>
      </c>
      <c r="G25" s="26" t="str">
        <f aca="false">IF(A25="","",B25*Premissas!$C$4+C25*Premissas!$C$7+D25*Premissas!$C$6+E25*Premissas!$C$5)</f>
        <v/>
      </c>
      <c r="H25" s="27" t="str">
        <f aca="false">IF(A25="","",DATE(YEAR(A25),MONTH(A25),1))</f>
        <v/>
      </c>
    </row>
    <row r="26" customFormat="false" ht="14.25" hidden="false" customHeight="true" outlineLevel="0" collapsed="false">
      <c r="A26" s="23"/>
      <c r="B26" s="24"/>
      <c r="C26" s="24"/>
      <c r="D26" s="24"/>
      <c r="E26" s="24"/>
      <c r="F26" s="25" t="str">
        <f aca="false">IF(A26="","",SUM(B26:E26))</f>
        <v/>
      </c>
      <c r="G26" s="26" t="str">
        <f aca="false">IF(A26="","",B26*Premissas!$C$4+C26*Premissas!$C$7+D26*Premissas!$C$6+E26*Premissas!$C$5)</f>
        <v/>
      </c>
      <c r="H26" s="27" t="str">
        <f aca="false">IF(A26="","",DATE(YEAR(A26),MONTH(A26),1))</f>
        <v/>
      </c>
    </row>
    <row r="27" customFormat="false" ht="14.25" hidden="false" customHeight="true" outlineLevel="0" collapsed="false">
      <c r="A27" s="23"/>
      <c r="B27" s="24"/>
      <c r="C27" s="24"/>
      <c r="D27" s="24"/>
      <c r="E27" s="24"/>
      <c r="F27" s="25" t="str">
        <f aca="false">IF(A27="","",SUM(B27:E27))</f>
        <v/>
      </c>
      <c r="G27" s="26" t="str">
        <f aca="false">IF(A27="","",B27*Premissas!$C$4+C27*Premissas!$C$7+D27*Premissas!$C$6+E27*Premissas!$C$5)</f>
        <v/>
      </c>
      <c r="H27" s="27" t="str">
        <f aca="false">IF(A27="","",DATE(YEAR(A27),MONTH(A27),1))</f>
        <v/>
      </c>
    </row>
    <row r="28" customFormat="false" ht="14.25" hidden="false" customHeight="true" outlineLevel="0" collapsed="false">
      <c r="A28" s="23"/>
      <c r="B28" s="24"/>
      <c r="C28" s="24"/>
      <c r="D28" s="24"/>
      <c r="E28" s="24"/>
      <c r="F28" s="25" t="str">
        <f aca="false">IF(A28="","",SUM(B28:E28))</f>
        <v/>
      </c>
      <c r="G28" s="26" t="str">
        <f aca="false">IF(A28="","",B28*Premissas!$C$4+C28*Premissas!$C$7+D28*Premissas!$C$6+E28*Premissas!$C$5)</f>
        <v/>
      </c>
      <c r="H28" s="27" t="str">
        <f aca="false">IF(A28="","",DATE(YEAR(A28),MONTH(A28),1))</f>
        <v/>
      </c>
    </row>
    <row r="29" customFormat="false" ht="14.25" hidden="false" customHeight="true" outlineLevel="0" collapsed="false">
      <c r="A29" s="23"/>
      <c r="B29" s="24"/>
      <c r="C29" s="24"/>
      <c r="D29" s="24"/>
      <c r="E29" s="24"/>
      <c r="F29" s="25" t="str">
        <f aca="false">IF(A29="","",SUM(B29:E29))</f>
        <v/>
      </c>
      <c r="G29" s="26" t="str">
        <f aca="false">IF(A29="","",B29*Premissas!$C$4+C29*Premissas!$C$7+D29*Premissas!$C$6+E29*Premissas!$C$5)</f>
        <v/>
      </c>
      <c r="H29" s="27" t="str">
        <f aca="false">IF(A29="","",DATE(YEAR(A29),MONTH(A29),1))</f>
        <v/>
      </c>
    </row>
    <row r="30" customFormat="false" ht="14.25" hidden="false" customHeight="true" outlineLevel="0" collapsed="false">
      <c r="A30" s="23"/>
      <c r="B30" s="24"/>
      <c r="C30" s="24"/>
      <c r="D30" s="24"/>
      <c r="E30" s="24"/>
      <c r="F30" s="25" t="str">
        <f aca="false">IF(A30="","",SUM(B30:E30))</f>
        <v/>
      </c>
      <c r="G30" s="26" t="str">
        <f aca="false">IF(A30="","",B30*Premissas!$C$4+C30*Premissas!$C$7+D30*Premissas!$C$6+E30*Premissas!$C$5)</f>
        <v/>
      </c>
      <c r="H30" s="27" t="str">
        <f aca="false">IF(A30="","",DATE(YEAR(A30),MONTH(A30),1))</f>
        <v/>
      </c>
    </row>
    <row r="31" customFormat="false" ht="14.25" hidden="false" customHeight="true" outlineLevel="0" collapsed="false">
      <c r="A31" s="23"/>
      <c r="B31" s="24"/>
      <c r="C31" s="24"/>
      <c r="D31" s="24"/>
      <c r="E31" s="24"/>
      <c r="F31" s="25" t="str">
        <f aca="false">IF(A31="","",SUM(B31:E31))</f>
        <v/>
      </c>
      <c r="G31" s="26" t="str">
        <f aca="false">IF(A31="","",B31*Premissas!$C$4+C31*Premissas!$C$7+D31*Premissas!$C$6+E31*Premissas!$C$5)</f>
        <v/>
      </c>
      <c r="H31" s="27" t="str">
        <f aca="false">IF(A31="","",DATE(YEAR(A31),MONTH(A31),1))</f>
        <v/>
      </c>
    </row>
    <row r="32" customFormat="false" ht="14.25" hidden="false" customHeight="true" outlineLevel="0" collapsed="false">
      <c r="A32" s="23"/>
      <c r="B32" s="24"/>
      <c r="C32" s="24"/>
      <c r="D32" s="24"/>
      <c r="E32" s="24"/>
      <c r="F32" s="25" t="str">
        <f aca="false">IF(A32="","",SUM(B32:E32))</f>
        <v/>
      </c>
      <c r="G32" s="26" t="str">
        <f aca="false">IF(A32="","",B32*Premissas!$C$4+C32*Premissas!$C$7+D32*Premissas!$C$6+E32*Premissas!$C$5)</f>
        <v/>
      </c>
      <c r="H32" s="27" t="str">
        <f aca="false">IF(A32="","",DATE(YEAR(A32),MONTH(A32),1))</f>
        <v/>
      </c>
    </row>
    <row r="33" customFormat="false" ht="14.25" hidden="false" customHeight="true" outlineLevel="0" collapsed="false">
      <c r="A33" s="23"/>
      <c r="B33" s="24"/>
      <c r="C33" s="24"/>
      <c r="D33" s="24"/>
      <c r="E33" s="24"/>
      <c r="F33" s="25" t="str">
        <f aca="false">IF(A33="","",SUM(B33:E33))</f>
        <v/>
      </c>
      <c r="G33" s="26" t="str">
        <f aca="false">IF(A33="","",B33*Premissas!$C$4+C33*Premissas!$C$7+D33*Premissas!$C$6+E33*Premissas!$C$5)</f>
        <v/>
      </c>
      <c r="H33" s="27" t="str">
        <f aca="false">IF(A33="","",DATE(YEAR(A33),MONTH(A33),1))</f>
        <v/>
      </c>
    </row>
    <row r="34" customFormat="false" ht="14.25" hidden="false" customHeight="true" outlineLevel="0" collapsed="false">
      <c r="A34" s="23"/>
      <c r="B34" s="24"/>
      <c r="C34" s="24"/>
      <c r="D34" s="24"/>
      <c r="E34" s="24"/>
      <c r="F34" s="25" t="str">
        <f aca="false">IF(A34="","",SUM(B34:E34))</f>
        <v/>
      </c>
      <c r="G34" s="26" t="str">
        <f aca="false">IF(A34="","",B34*Premissas!$C$4+C34*Premissas!$C$7+D34*Premissas!$C$6+E34*Premissas!$C$5)</f>
        <v/>
      </c>
      <c r="H34" s="27" t="str">
        <f aca="false">IF(A34="","",DATE(YEAR(A34),MONTH(A34),1))</f>
        <v/>
      </c>
    </row>
    <row r="35" customFormat="false" ht="14.25" hidden="false" customHeight="true" outlineLevel="0" collapsed="false">
      <c r="A35" s="23"/>
      <c r="B35" s="24"/>
      <c r="C35" s="24"/>
      <c r="D35" s="24"/>
      <c r="E35" s="24"/>
      <c r="F35" s="25" t="str">
        <f aca="false">IF(A35="","",SUM(B35:E35))</f>
        <v/>
      </c>
      <c r="G35" s="26" t="str">
        <f aca="false">IF(A35="","",B35*Premissas!$C$4+C35*Premissas!$C$7+D35*Premissas!$C$6+E35*Premissas!$C$5)</f>
        <v/>
      </c>
      <c r="H35" s="27" t="str">
        <f aca="false">IF(A35="","",DATE(YEAR(A35),MONTH(A35),1))</f>
        <v/>
      </c>
    </row>
    <row r="36" customFormat="false" ht="14.25" hidden="false" customHeight="true" outlineLevel="0" collapsed="false">
      <c r="A36" s="23"/>
      <c r="B36" s="24"/>
      <c r="C36" s="24"/>
      <c r="D36" s="24"/>
      <c r="E36" s="24"/>
      <c r="F36" s="25" t="str">
        <f aca="false">IF(A36="","",SUM(B36:E36))</f>
        <v/>
      </c>
      <c r="G36" s="26" t="str">
        <f aca="false">IF(A36="","",B36*Premissas!$C$4+C36*Premissas!$C$7+D36*Premissas!$C$6+E36*Premissas!$C$5)</f>
        <v/>
      </c>
      <c r="H36" s="27" t="str">
        <f aca="false">IF(A36="","",DATE(YEAR(A36),MONTH(A36),1))</f>
        <v/>
      </c>
    </row>
    <row r="37" customFormat="false" ht="14.25" hidden="false" customHeight="true" outlineLevel="0" collapsed="false">
      <c r="A37" s="23"/>
      <c r="B37" s="24"/>
      <c r="C37" s="24"/>
      <c r="D37" s="24"/>
      <c r="E37" s="24"/>
      <c r="F37" s="25" t="str">
        <f aca="false">IF(A37="","",SUM(B37:E37))</f>
        <v/>
      </c>
      <c r="G37" s="26" t="str">
        <f aca="false">IF(A37="","",B37*Premissas!$C$4+C37*Premissas!$C$7+D37*Premissas!$C$6+E37*Premissas!$C$5)</f>
        <v/>
      </c>
      <c r="H37" s="27" t="str">
        <f aca="false">IF(A37="","",DATE(YEAR(A37),MONTH(A37),1))</f>
        <v/>
      </c>
    </row>
    <row r="38" customFormat="false" ht="14.25" hidden="false" customHeight="true" outlineLevel="0" collapsed="false">
      <c r="A38" s="23"/>
      <c r="B38" s="24"/>
      <c r="C38" s="24"/>
      <c r="D38" s="24"/>
      <c r="E38" s="24"/>
      <c r="F38" s="25" t="str">
        <f aca="false">IF(A38="","",SUM(B38:E38))</f>
        <v/>
      </c>
      <c r="G38" s="26" t="str">
        <f aca="false">IF(A38="","",B38*Premissas!$C$4+C38*Premissas!$C$7+D38*Premissas!$C$6+E38*Premissas!$C$5)</f>
        <v/>
      </c>
      <c r="H38" s="27" t="str">
        <f aca="false">IF(A38="","",DATE(YEAR(A38),MONTH(A38),1))</f>
        <v/>
      </c>
    </row>
    <row r="39" customFormat="false" ht="14.25" hidden="false" customHeight="true" outlineLevel="0" collapsed="false">
      <c r="A39" s="23"/>
      <c r="B39" s="24"/>
      <c r="C39" s="24"/>
      <c r="D39" s="24"/>
      <c r="E39" s="24"/>
      <c r="F39" s="25" t="str">
        <f aca="false">IF(A39="","",SUM(B39:E39))</f>
        <v/>
      </c>
      <c r="G39" s="26" t="str">
        <f aca="false">IF(A39="","",B39*Premissas!$C$4+C39*Premissas!$C$7+D39*Premissas!$C$6+E39*Premissas!$C$5)</f>
        <v/>
      </c>
      <c r="H39" s="27" t="str">
        <f aca="false">IF(A39="","",DATE(YEAR(A39),MONTH(A39),1))</f>
        <v/>
      </c>
    </row>
    <row r="40" customFormat="false" ht="14.25" hidden="false" customHeight="true" outlineLevel="0" collapsed="false">
      <c r="A40" s="23"/>
      <c r="B40" s="24"/>
      <c r="C40" s="24"/>
      <c r="D40" s="24"/>
      <c r="E40" s="24"/>
      <c r="F40" s="25" t="str">
        <f aca="false">IF(A40="","",SUM(B40:E40))</f>
        <v/>
      </c>
      <c r="G40" s="26" t="str">
        <f aca="false">IF(A40="","",B40*Premissas!$C$4+C40*Premissas!$C$7+D40*Premissas!$C$6+E40*Premissas!$C$5)</f>
        <v/>
      </c>
      <c r="H40" s="27" t="str">
        <f aca="false">IF(A40="","",DATE(YEAR(A40),MONTH(A40),1))</f>
        <v/>
      </c>
    </row>
    <row r="41" customFormat="false" ht="14.25" hidden="false" customHeight="true" outlineLevel="0" collapsed="false">
      <c r="A41" s="23"/>
      <c r="B41" s="24"/>
      <c r="C41" s="24"/>
      <c r="D41" s="24"/>
      <c r="E41" s="24"/>
      <c r="F41" s="25" t="str">
        <f aca="false">IF(A41="","",SUM(B41:E41))</f>
        <v/>
      </c>
      <c r="G41" s="26" t="str">
        <f aca="false">IF(A41="","",B41*Premissas!$C$4+C41*Premissas!$C$7+D41*Premissas!$C$6+E41*Premissas!$C$5)</f>
        <v/>
      </c>
      <c r="H41" s="27" t="str">
        <f aca="false">IF(A41="","",DATE(YEAR(A41),MONTH(A41),1))</f>
        <v/>
      </c>
    </row>
    <row r="42" customFormat="false" ht="14.25" hidden="false" customHeight="true" outlineLevel="0" collapsed="false">
      <c r="A42" s="23"/>
      <c r="B42" s="24"/>
      <c r="C42" s="24"/>
      <c r="D42" s="24"/>
      <c r="E42" s="24"/>
      <c r="F42" s="25" t="str">
        <f aca="false">IF(A42="","",SUM(B42:E42))</f>
        <v/>
      </c>
      <c r="G42" s="26" t="str">
        <f aca="false">IF(A42="","",B42*Premissas!$C$4+C42*Premissas!$C$7+D42*Premissas!$C$6+E42*Premissas!$C$5)</f>
        <v/>
      </c>
      <c r="H42" s="27" t="str">
        <f aca="false">IF(A42="","",DATE(YEAR(A42),MONTH(A42),1))</f>
        <v/>
      </c>
    </row>
    <row r="43" customFormat="false" ht="14.25" hidden="false" customHeight="true" outlineLevel="0" collapsed="false">
      <c r="A43" s="23"/>
      <c r="B43" s="24"/>
      <c r="C43" s="24"/>
      <c r="D43" s="24"/>
      <c r="E43" s="24"/>
      <c r="F43" s="25" t="str">
        <f aca="false">IF(A43="","",SUM(B43:E43))</f>
        <v/>
      </c>
      <c r="G43" s="26" t="str">
        <f aca="false">IF(A43="","",B43*Premissas!$C$4+C43*Premissas!$C$7+D43*Premissas!$C$6+E43*Premissas!$C$5)</f>
        <v/>
      </c>
      <c r="H43" s="27" t="str">
        <f aca="false">IF(A43="","",DATE(YEAR(A43),MONTH(A43),1))</f>
        <v/>
      </c>
    </row>
    <row r="44" customFormat="false" ht="14.25" hidden="false" customHeight="true" outlineLevel="0" collapsed="false">
      <c r="A44" s="23"/>
      <c r="B44" s="24"/>
      <c r="C44" s="24"/>
      <c r="D44" s="24"/>
      <c r="E44" s="24"/>
      <c r="F44" s="25" t="str">
        <f aca="false">IF(A44="","",SUM(B44:E44))</f>
        <v/>
      </c>
      <c r="G44" s="26" t="str">
        <f aca="false">IF(A44="","",B44*Premissas!$C$4+C44*Premissas!$C$7+D44*Premissas!$C$6+E44*Premissas!$C$5)</f>
        <v/>
      </c>
      <c r="H44" s="27" t="str">
        <f aca="false">IF(A44="","",DATE(YEAR(A44),MONTH(A44),1))</f>
        <v/>
      </c>
    </row>
    <row r="45" customFormat="false" ht="14.25" hidden="false" customHeight="true" outlineLevel="0" collapsed="false">
      <c r="A45" s="23"/>
      <c r="B45" s="24"/>
      <c r="C45" s="24"/>
      <c r="D45" s="24"/>
      <c r="E45" s="24"/>
      <c r="F45" s="25" t="str">
        <f aca="false">IF(A45="","",SUM(B45:E45))</f>
        <v/>
      </c>
      <c r="G45" s="26" t="str">
        <f aca="false">IF(A45="","",B45*Premissas!$C$4+C45*Premissas!$C$7+D45*Premissas!$C$6+E45*Premissas!$C$5)</f>
        <v/>
      </c>
      <c r="H45" s="27" t="str">
        <f aca="false">IF(A45="","",DATE(YEAR(A45),MONTH(A45),1))</f>
        <v/>
      </c>
    </row>
    <row r="46" customFormat="false" ht="14.25" hidden="false" customHeight="true" outlineLevel="0" collapsed="false">
      <c r="A46" s="23"/>
      <c r="B46" s="24"/>
      <c r="C46" s="24"/>
      <c r="D46" s="24"/>
      <c r="E46" s="24"/>
      <c r="F46" s="25" t="str">
        <f aca="false">IF(A46="","",SUM(B46:E46))</f>
        <v/>
      </c>
      <c r="G46" s="26" t="str">
        <f aca="false">IF(A46="","",B46*Premissas!$C$4+C46*Premissas!$C$7+D46*Premissas!$C$6+E46*Premissas!$C$5)</f>
        <v/>
      </c>
      <c r="H46" s="27" t="str">
        <f aca="false">IF(A46="","",DATE(YEAR(A46),MONTH(A46),1))</f>
        <v/>
      </c>
    </row>
    <row r="47" customFormat="false" ht="14.25" hidden="false" customHeight="true" outlineLevel="0" collapsed="false">
      <c r="A47" s="23"/>
      <c r="B47" s="24"/>
      <c r="C47" s="24"/>
      <c r="D47" s="24"/>
      <c r="E47" s="24"/>
      <c r="F47" s="25" t="str">
        <f aca="false">IF(A47="","",SUM(B47:E47))</f>
        <v/>
      </c>
      <c r="G47" s="26" t="str">
        <f aca="false">IF(A47="","",B47*Premissas!$C$4+C47*Premissas!$C$7+D47*Premissas!$C$6+E47*Premissas!$C$5)</f>
        <v/>
      </c>
      <c r="H47" s="27" t="str">
        <f aca="false">IF(A47="","",DATE(YEAR(A47),MONTH(A47),1))</f>
        <v/>
      </c>
    </row>
    <row r="48" customFormat="false" ht="14.25" hidden="false" customHeight="true" outlineLevel="0" collapsed="false">
      <c r="A48" s="23"/>
      <c r="B48" s="24"/>
      <c r="C48" s="24"/>
      <c r="D48" s="24"/>
      <c r="E48" s="24"/>
      <c r="F48" s="25" t="str">
        <f aca="false">IF(A48="","",SUM(B48:E48))</f>
        <v/>
      </c>
      <c r="G48" s="26" t="str">
        <f aca="false">IF(A48="","",B48*Premissas!$C$4+C48*Premissas!$C$7+D48*Premissas!$C$6+E48*Premissas!$C$5)</f>
        <v/>
      </c>
      <c r="H48" s="27" t="str">
        <f aca="false">IF(A48="","",DATE(YEAR(A48),MONTH(A48),1))</f>
        <v/>
      </c>
    </row>
    <row r="49" customFormat="false" ht="14.25" hidden="false" customHeight="true" outlineLevel="0" collapsed="false">
      <c r="A49" s="23"/>
      <c r="B49" s="24"/>
      <c r="C49" s="24"/>
      <c r="D49" s="24"/>
      <c r="E49" s="24"/>
      <c r="F49" s="25" t="str">
        <f aca="false">IF(A49="","",SUM(B49:E49))</f>
        <v/>
      </c>
      <c r="G49" s="26" t="str">
        <f aca="false">IF(A49="","",B49*Premissas!$C$4+C49*Premissas!$C$7+D49*Premissas!$C$6+E49*Premissas!$C$5)</f>
        <v/>
      </c>
      <c r="H49" s="27" t="str">
        <f aca="false">IF(A49="","",DATE(YEAR(A49),MONTH(A49),1))</f>
        <v/>
      </c>
    </row>
    <row r="50" customFormat="false" ht="14.25" hidden="false" customHeight="true" outlineLevel="0" collapsed="false">
      <c r="A50" s="23"/>
      <c r="B50" s="24"/>
      <c r="C50" s="24"/>
      <c r="D50" s="24"/>
      <c r="E50" s="24"/>
      <c r="F50" s="25" t="str">
        <f aca="false">IF(A50="","",SUM(B50:E50))</f>
        <v/>
      </c>
      <c r="G50" s="26" t="str">
        <f aca="false">IF(A50="","",B50*Premissas!$C$4+C50*Premissas!$C$7+D50*Premissas!$C$6+E50*Premissas!$C$5)</f>
        <v/>
      </c>
      <c r="H50" s="27" t="str">
        <f aca="false">IF(A50="","",DATE(YEAR(A50),MONTH(A50),1))</f>
        <v/>
      </c>
    </row>
    <row r="51" customFormat="false" ht="14.25" hidden="false" customHeight="true" outlineLevel="0" collapsed="false">
      <c r="A51" s="23"/>
      <c r="B51" s="24"/>
      <c r="C51" s="24"/>
      <c r="D51" s="24"/>
      <c r="E51" s="24"/>
      <c r="F51" s="25" t="str">
        <f aca="false">IF(A51="","",SUM(B51:E51))</f>
        <v/>
      </c>
      <c r="G51" s="26" t="str">
        <f aca="false">IF(A51="","",B51*Premissas!$C$4+C51*Premissas!$C$7+D51*Premissas!$C$6+E51*Premissas!$C$5)</f>
        <v/>
      </c>
      <c r="H51" s="27" t="str">
        <f aca="false">IF(A51="","",DATE(YEAR(A51),MONTH(A51),1))</f>
        <v/>
      </c>
    </row>
    <row r="52" customFormat="false" ht="14.25" hidden="false" customHeight="true" outlineLevel="0" collapsed="false">
      <c r="A52" s="23"/>
      <c r="B52" s="24"/>
      <c r="C52" s="24"/>
      <c r="D52" s="24"/>
      <c r="E52" s="24"/>
      <c r="F52" s="25" t="str">
        <f aca="false">IF(A52="","",SUM(B52:E52))</f>
        <v/>
      </c>
      <c r="G52" s="26" t="str">
        <f aca="false">IF(A52="","",B52*Premissas!$C$4+C52*Premissas!$C$7+D52*Premissas!$C$6+E52*Premissas!$C$5)</f>
        <v/>
      </c>
      <c r="H52" s="27" t="str">
        <f aca="false">IF(A52="","",DATE(YEAR(A52),MONTH(A52),1))</f>
        <v/>
      </c>
    </row>
    <row r="53" customFormat="false" ht="14.25" hidden="false" customHeight="true" outlineLevel="0" collapsed="false">
      <c r="A53" s="23"/>
      <c r="B53" s="24"/>
      <c r="C53" s="24"/>
      <c r="D53" s="24"/>
      <c r="E53" s="24"/>
      <c r="F53" s="25" t="str">
        <f aca="false">IF(A53="","",SUM(B53:E53))</f>
        <v/>
      </c>
      <c r="G53" s="26" t="str">
        <f aca="false">IF(A53="","",B53*Premissas!$C$4+C53*Premissas!$C$7+D53*Premissas!$C$6+E53*Premissas!$C$5)</f>
        <v/>
      </c>
      <c r="H53" s="27" t="str">
        <f aca="false">IF(A53="","",DATE(YEAR(A53),MONTH(A53),1))</f>
        <v/>
      </c>
    </row>
    <row r="54" customFormat="false" ht="14.25" hidden="false" customHeight="true" outlineLevel="0" collapsed="false">
      <c r="A54" s="23"/>
      <c r="B54" s="24"/>
      <c r="C54" s="24"/>
      <c r="D54" s="24"/>
      <c r="E54" s="24"/>
      <c r="F54" s="25" t="str">
        <f aca="false">IF(A54="","",SUM(B54:E54))</f>
        <v/>
      </c>
      <c r="G54" s="26" t="str">
        <f aca="false">IF(A54="","",B54*Premissas!$C$4+C54*Premissas!$C$7+D54*Premissas!$C$6+E54*Premissas!$C$5)</f>
        <v/>
      </c>
      <c r="H54" s="27" t="str">
        <f aca="false">IF(A54="","",DATE(YEAR(A54),MONTH(A54),1))</f>
        <v/>
      </c>
    </row>
    <row r="55" customFormat="false" ht="14.25" hidden="false" customHeight="true" outlineLevel="0" collapsed="false">
      <c r="A55" s="23"/>
      <c r="B55" s="24"/>
      <c r="C55" s="24"/>
      <c r="D55" s="24"/>
      <c r="E55" s="24"/>
      <c r="F55" s="25" t="str">
        <f aca="false">IF(A55="","",SUM(B55:E55))</f>
        <v/>
      </c>
      <c r="G55" s="26" t="str">
        <f aca="false">IF(A55="","",B55*Premissas!$C$4+C55*Premissas!$C$7+D55*Premissas!$C$6+E55*Premissas!$C$5)</f>
        <v/>
      </c>
      <c r="H55" s="27" t="str">
        <f aca="false">IF(A55="","",DATE(YEAR(A55),MONTH(A55),1))</f>
        <v/>
      </c>
    </row>
    <row r="56" customFormat="false" ht="14.25" hidden="false" customHeight="true" outlineLevel="0" collapsed="false">
      <c r="A56" s="23"/>
      <c r="B56" s="24"/>
      <c r="C56" s="24"/>
      <c r="D56" s="24"/>
      <c r="E56" s="24"/>
      <c r="F56" s="25" t="str">
        <f aca="false">IF(A56="","",SUM(B56:E56))</f>
        <v/>
      </c>
      <c r="G56" s="26" t="str">
        <f aca="false">IF(A56="","",B56*Premissas!$C$4+C56*Premissas!$C$7+D56*Premissas!$C$6+E56*Premissas!$C$5)</f>
        <v/>
      </c>
      <c r="H56" s="27" t="str">
        <f aca="false">IF(A56="","",DATE(YEAR(A56),MONTH(A56),1))</f>
        <v/>
      </c>
    </row>
    <row r="57" customFormat="false" ht="14.25" hidden="false" customHeight="true" outlineLevel="0" collapsed="false">
      <c r="A57" s="23"/>
      <c r="B57" s="24"/>
      <c r="C57" s="24"/>
      <c r="D57" s="24"/>
      <c r="E57" s="24"/>
      <c r="F57" s="25" t="str">
        <f aca="false">IF(A57="","",SUM(B57:E57))</f>
        <v/>
      </c>
      <c r="G57" s="26" t="str">
        <f aca="false">IF(A57="","",B57*Premissas!$C$4+C57*Premissas!$C$7+D57*Premissas!$C$6+E57*Premissas!$C$5)</f>
        <v/>
      </c>
      <c r="H57" s="27" t="str">
        <f aca="false">IF(A57="","",DATE(YEAR(A57),MONTH(A57),1))</f>
        <v/>
      </c>
    </row>
    <row r="58" customFormat="false" ht="14.25" hidden="false" customHeight="true" outlineLevel="0" collapsed="false">
      <c r="A58" s="23"/>
      <c r="B58" s="24"/>
      <c r="C58" s="24"/>
      <c r="D58" s="24"/>
      <c r="E58" s="24"/>
      <c r="F58" s="25" t="str">
        <f aca="false">IF(A58="","",SUM(B58:E58))</f>
        <v/>
      </c>
      <c r="G58" s="26" t="str">
        <f aca="false">IF(A58="","",B58*Premissas!$C$4+C58*Premissas!$C$7+D58*Premissas!$C$6+E58*Premissas!$C$5)</f>
        <v/>
      </c>
      <c r="H58" s="27" t="str">
        <f aca="false">IF(A58="","",DATE(YEAR(A58),MONTH(A58),1))</f>
        <v/>
      </c>
    </row>
    <row r="59" customFormat="false" ht="14.25" hidden="false" customHeight="true" outlineLevel="0" collapsed="false">
      <c r="A59" s="23"/>
      <c r="B59" s="24"/>
      <c r="C59" s="24"/>
      <c r="D59" s="24"/>
      <c r="E59" s="24"/>
      <c r="F59" s="25" t="str">
        <f aca="false">IF(A59="","",SUM(B59:E59))</f>
        <v/>
      </c>
      <c r="G59" s="26" t="str">
        <f aca="false">IF(A59="","",B59*Premissas!$C$4+C59*Premissas!$C$7+D59*Premissas!$C$6+E59*Premissas!$C$5)</f>
        <v/>
      </c>
      <c r="H59" s="27" t="str">
        <f aca="false">IF(A59="","",DATE(YEAR(A59),MONTH(A59),1))</f>
        <v/>
      </c>
    </row>
    <row r="60" customFormat="false" ht="14.25" hidden="false" customHeight="true" outlineLevel="0" collapsed="false">
      <c r="A60" s="23"/>
      <c r="B60" s="24"/>
      <c r="C60" s="24"/>
      <c r="D60" s="24"/>
      <c r="E60" s="24"/>
      <c r="F60" s="25" t="str">
        <f aca="false">IF(A60="","",SUM(B60:E60))</f>
        <v/>
      </c>
      <c r="G60" s="26" t="str">
        <f aca="false">IF(A60="","",B60*Premissas!$C$4+C60*Premissas!$C$7+D60*Premissas!$C$6+E60*Premissas!$C$5)</f>
        <v/>
      </c>
      <c r="H60" s="27" t="str">
        <f aca="false">IF(A60="","",DATE(YEAR(A60),MONTH(A60),1))</f>
        <v/>
      </c>
    </row>
    <row r="61" customFormat="false" ht="14.25" hidden="false" customHeight="true" outlineLevel="0" collapsed="false">
      <c r="A61" s="23"/>
      <c r="B61" s="24"/>
      <c r="C61" s="24"/>
      <c r="D61" s="24"/>
      <c r="E61" s="24"/>
      <c r="F61" s="25" t="str">
        <f aca="false">IF(A61="","",SUM(B61:E61))</f>
        <v/>
      </c>
      <c r="G61" s="26" t="str">
        <f aca="false">IF(A61="","",B61*Premissas!$C$4+C61*Premissas!$C$7+D61*Premissas!$C$6+E61*Premissas!$C$5)</f>
        <v/>
      </c>
      <c r="H61" s="27" t="str">
        <f aca="false">IF(A61="","",DATE(YEAR(A61),MONTH(A61),1))</f>
        <v/>
      </c>
    </row>
    <row r="62" customFormat="false" ht="14.25" hidden="false" customHeight="true" outlineLevel="0" collapsed="false">
      <c r="A62" s="23"/>
      <c r="B62" s="24"/>
      <c r="C62" s="24"/>
      <c r="D62" s="24"/>
      <c r="E62" s="24"/>
      <c r="F62" s="25" t="str">
        <f aca="false">IF(A62="","",SUM(B62:E62))</f>
        <v/>
      </c>
      <c r="G62" s="26" t="str">
        <f aca="false">IF(A62="","",B62*Premissas!$C$4+C62*Premissas!$C$7+D62*Premissas!$C$6+E62*Premissas!$C$5)</f>
        <v/>
      </c>
      <c r="H62" s="27" t="str">
        <f aca="false">IF(A62="","",DATE(YEAR(A62),MONTH(A62),1))</f>
        <v/>
      </c>
    </row>
    <row r="63" customFormat="false" ht="14.25" hidden="false" customHeight="true" outlineLevel="0" collapsed="false">
      <c r="A63" s="23"/>
      <c r="B63" s="24"/>
      <c r="C63" s="24"/>
      <c r="D63" s="24"/>
      <c r="E63" s="24"/>
      <c r="F63" s="25" t="str">
        <f aca="false">IF(A63="","",SUM(B63:E63))</f>
        <v/>
      </c>
      <c r="G63" s="26" t="str">
        <f aca="false">IF(A63="","",B63*Premissas!$C$4+C63*Premissas!$C$7+D63*Premissas!$C$6+E63*Premissas!$C$5)</f>
        <v/>
      </c>
      <c r="H63" s="27" t="str">
        <f aca="false">IF(A63="","",DATE(YEAR(A63),MONTH(A63),1))</f>
        <v/>
      </c>
    </row>
    <row r="64" customFormat="false" ht="14.25" hidden="false" customHeight="true" outlineLevel="0" collapsed="false">
      <c r="A64" s="23"/>
      <c r="B64" s="24"/>
      <c r="C64" s="24"/>
      <c r="D64" s="24"/>
      <c r="E64" s="24"/>
      <c r="F64" s="25" t="str">
        <f aca="false">IF(A64="","",SUM(B64:E64))</f>
        <v/>
      </c>
      <c r="G64" s="26" t="str">
        <f aca="false">IF(A64="","",B64*Premissas!$C$4+C64*Premissas!$C$7+D64*Premissas!$C$6+E64*Premissas!$C$5)</f>
        <v/>
      </c>
      <c r="H64" s="27" t="str">
        <f aca="false">IF(A64="","",DATE(YEAR(A64),MONTH(A64),1))</f>
        <v/>
      </c>
    </row>
    <row r="65" customFormat="false" ht="14.25" hidden="false" customHeight="true" outlineLevel="0" collapsed="false">
      <c r="A65" s="23"/>
      <c r="B65" s="24"/>
      <c r="C65" s="24"/>
      <c r="D65" s="24"/>
      <c r="E65" s="24"/>
      <c r="F65" s="25" t="str">
        <f aca="false">IF(A65="","",SUM(B65:E65))</f>
        <v/>
      </c>
      <c r="G65" s="26" t="str">
        <f aca="false">IF(A65="","",B65*Premissas!$C$4+C65*Premissas!$C$7+D65*Premissas!$C$6+E65*Premissas!$C$5)</f>
        <v/>
      </c>
      <c r="H65" s="27" t="str">
        <f aca="false">IF(A65="","",DATE(YEAR(A65),MONTH(A65),1))</f>
        <v/>
      </c>
    </row>
    <row r="66" customFormat="false" ht="14.25" hidden="false" customHeight="true" outlineLevel="0" collapsed="false">
      <c r="A66" s="23"/>
      <c r="B66" s="24"/>
      <c r="C66" s="24"/>
      <c r="D66" s="24"/>
      <c r="E66" s="24"/>
      <c r="F66" s="25" t="str">
        <f aca="false">IF(A66="","",SUM(B66:E66))</f>
        <v/>
      </c>
      <c r="G66" s="26" t="str">
        <f aca="false">IF(A66="","",B66*Premissas!$C$4+C66*Premissas!$C$7+D66*Premissas!$C$6+E66*Premissas!$C$5)</f>
        <v/>
      </c>
      <c r="H66" s="27" t="str">
        <f aca="false">IF(A66="","",DATE(YEAR(A66),MONTH(A66),1))</f>
        <v/>
      </c>
    </row>
    <row r="67" customFormat="false" ht="14.25" hidden="false" customHeight="true" outlineLevel="0" collapsed="false">
      <c r="A67" s="23"/>
      <c r="B67" s="24"/>
      <c r="C67" s="24"/>
      <c r="D67" s="24"/>
      <c r="E67" s="24"/>
      <c r="F67" s="25" t="str">
        <f aca="false">IF(A67="","",SUM(B67:E67))</f>
        <v/>
      </c>
      <c r="G67" s="26" t="str">
        <f aca="false">IF(A67="","",B67*Premissas!$C$4+C67*Premissas!$C$7+D67*Premissas!$C$6+E67*Premissas!$C$5)</f>
        <v/>
      </c>
      <c r="H67" s="27" t="str">
        <f aca="false">IF(A67="","",DATE(YEAR(A67),MONTH(A67),1))</f>
        <v/>
      </c>
    </row>
    <row r="68" customFormat="false" ht="14.25" hidden="false" customHeight="true" outlineLevel="0" collapsed="false">
      <c r="A68" s="23"/>
      <c r="B68" s="24"/>
      <c r="C68" s="24"/>
      <c r="D68" s="24"/>
      <c r="E68" s="24"/>
      <c r="F68" s="25" t="str">
        <f aca="false">IF(A68="","",SUM(B68:E68))</f>
        <v/>
      </c>
      <c r="G68" s="26" t="str">
        <f aca="false">IF(A68="","",B68*Premissas!$C$4+C68*Premissas!$C$7+D68*Premissas!$C$6+E68*Premissas!$C$5)</f>
        <v/>
      </c>
      <c r="H68" s="27" t="str">
        <f aca="false">IF(A68="","",DATE(YEAR(A68),MONTH(A68),1))</f>
        <v/>
      </c>
    </row>
    <row r="69" customFormat="false" ht="14.25" hidden="false" customHeight="true" outlineLevel="0" collapsed="false">
      <c r="A69" s="23"/>
      <c r="B69" s="24"/>
      <c r="C69" s="24"/>
      <c r="D69" s="24"/>
      <c r="E69" s="24"/>
      <c r="F69" s="25" t="str">
        <f aca="false">IF(A69="","",SUM(B69:E69))</f>
        <v/>
      </c>
      <c r="G69" s="26" t="str">
        <f aca="false">IF(A69="","",B69*Premissas!$C$4+C69*Premissas!$C$7+D69*Premissas!$C$6+E69*Premissas!$C$5)</f>
        <v/>
      </c>
      <c r="H69" s="27" t="str">
        <f aca="false">IF(A69="","",DATE(YEAR(A69),MONTH(A69),1))</f>
        <v/>
      </c>
    </row>
    <row r="70" customFormat="false" ht="14.25" hidden="false" customHeight="true" outlineLevel="0" collapsed="false">
      <c r="A70" s="23"/>
      <c r="B70" s="24"/>
      <c r="C70" s="24"/>
      <c r="D70" s="24"/>
      <c r="E70" s="24"/>
      <c r="F70" s="25" t="str">
        <f aca="false">IF(A70="","",SUM(B70:E70))</f>
        <v/>
      </c>
      <c r="G70" s="26" t="str">
        <f aca="false">IF(A70="","",B70*Premissas!$C$4+C70*Premissas!$C$7+D70*Premissas!$C$6+E70*Premissas!$C$5)</f>
        <v/>
      </c>
      <c r="H70" s="27" t="str">
        <f aca="false">IF(A70="","",DATE(YEAR(A70),MONTH(A70),1))</f>
        <v/>
      </c>
    </row>
    <row r="71" customFormat="false" ht="14.25" hidden="false" customHeight="true" outlineLevel="0" collapsed="false">
      <c r="A71" s="23"/>
      <c r="B71" s="24"/>
      <c r="C71" s="24"/>
      <c r="D71" s="24"/>
      <c r="E71" s="24"/>
      <c r="F71" s="25" t="str">
        <f aca="false">IF(A71="","",SUM(B71:E71))</f>
        <v/>
      </c>
      <c r="G71" s="26" t="str">
        <f aca="false">IF(A71="","",B71*Premissas!$C$4+C71*Premissas!$C$7+D71*Premissas!$C$6+E71*Premissas!$C$5)</f>
        <v/>
      </c>
      <c r="H71" s="27" t="str">
        <f aca="false">IF(A71="","",DATE(YEAR(A71),MONTH(A71),1))</f>
        <v/>
      </c>
    </row>
    <row r="72" customFormat="false" ht="14.25" hidden="false" customHeight="true" outlineLevel="0" collapsed="false">
      <c r="A72" s="23"/>
      <c r="B72" s="24"/>
      <c r="C72" s="24"/>
      <c r="D72" s="24"/>
      <c r="E72" s="24"/>
      <c r="F72" s="25" t="str">
        <f aca="false">IF(A72="","",SUM(B72:E72))</f>
        <v/>
      </c>
      <c r="G72" s="26" t="str">
        <f aca="false">IF(A72="","",B72*Premissas!$C$4+C72*Premissas!$C$7+D72*Premissas!$C$6+E72*Premissas!$C$5)</f>
        <v/>
      </c>
      <c r="H72" s="27" t="str">
        <f aca="false">IF(A72="","",DATE(YEAR(A72),MONTH(A72),1))</f>
        <v/>
      </c>
    </row>
    <row r="73" customFormat="false" ht="14.25" hidden="false" customHeight="true" outlineLevel="0" collapsed="false">
      <c r="A73" s="23"/>
      <c r="B73" s="24"/>
      <c r="C73" s="24"/>
      <c r="D73" s="24"/>
      <c r="E73" s="24"/>
      <c r="F73" s="25" t="str">
        <f aca="false">IF(A73="","",SUM(B73:E73))</f>
        <v/>
      </c>
      <c r="G73" s="26" t="str">
        <f aca="false">IF(A73="","",B73*Premissas!$C$4+C73*Premissas!$C$7+D73*Premissas!$C$6+E73*Premissas!$C$5)</f>
        <v/>
      </c>
      <c r="H73" s="27" t="str">
        <f aca="false">IF(A73="","",DATE(YEAR(A73),MONTH(A73),1))</f>
        <v/>
      </c>
    </row>
    <row r="74" customFormat="false" ht="14.25" hidden="false" customHeight="true" outlineLevel="0" collapsed="false">
      <c r="A74" s="23"/>
      <c r="B74" s="24"/>
      <c r="C74" s="24"/>
      <c r="D74" s="24"/>
      <c r="E74" s="24"/>
      <c r="F74" s="25" t="str">
        <f aca="false">IF(A74="","",SUM(B74:E74))</f>
        <v/>
      </c>
      <c r="G74" s="26" t="str">
        <f aca="false">IF(A74="","",B74*Premissas!$C$4+C74*Premissas!$C$7+D74*Premissas!$C$6+E74*Premissas!$C$5)</f>
        <v/>
      </c>
      <c r="H74" s="27" t="str">
        <f aca="false">IF(A74="","",DATE(YEAR(A74),MONTH(A74),1))</f>
        <v/>
      </c>
    </row>
    <row r="75" customFormat="false" ht="14.25" hidden="false" customHeight="true" outlineLevel="0" collapsed="false">
      <c r="A75" s="23"/>
      <c r="B75" s="24"/>
      <c r="C75" s="24"/>
      <c r="D75" s="24"/>
      <c r="E75" s="24"/>
      <c r="F75" s="25" t="str">
        <f aca="false">IF(A75="","",SUM(B75:E75))</f>
        <v/>
      </c>
      <c r="G75" s="26" t="str">
        <f aca="false">IF(A75="","",B75*Premissas!$C$4+C75*Premissas!$C$7+D75*Premissas!$C$6+E75*Premissas!$C$5)</f>
        <v/>
      </c>
      <c r="H75" s="27" t="str">
        <f aca="false">IF(A75="","",DATE(YEAR(A75),MONTH(A75),1))</f>
        <v/>
      </c>
    </row>
    <row r="76" customFormat="false" ht="14.25" hidden="false" customHeight="true" outlineLevel="0" collapsed="false">
      <c r="A76" s="23"/>
      <c r="B76" s="24"/>
      <c r="C76" s="24"/>
      <c r="D76" s="24"/>
      <c r="E76" s="24"/>
      <c r="F76" s="25" t="str">
        <f aca="false">IF(A76="","",SUM(B76:E76))</f>
        <v/>
      </c>
      <c r="G76" s="26" t="str">
        <f aca="false">IF(A76="","",B76*Premissas!$C$4+C76*Premissas!$C$7+D76*Premissas!$C$6+E76*Premissas!$C$5)</f>
        <v/>
      </c>
      <c r="H76" s="27" t="str">
        <f aca="false">IF(A76="","",DATE(YEAR(A76),MONTH(A76),1))</f>
        <v/>
      </c>
    </row>
    <row r="77" customFormat="false" ht="14.25" hidden="false" customHeight="true" outlineLevel="0" collapsed="false">
      <c r="A77" s="23"/>
      <c r="B77" s="24"/>
      <c r="C77" s="24"/>
      <c r="D77" s="24"/>
      <c r="E77" s="24"/>
      <c r="F77" s="25" t="str">
        <f aca="false">IF(A77="","",SUM(B77:E77))</f>
        <v/>
      </c>
      <c r="G77" s="26" t="str">
        <f aca="false">IF(A77="","",B77*Premissas!$C$4+C77*Premissas!$C$7+D77*Premissas!$C$6+E77*Premissas!$C$5)</f>
        <v/>
      </c>
      <c r="H77" s="27" t="str">
        <f aca="false">IF(A77="","",DATE(YEAR(A77),MONTH(A77),1))</f>
        <v/>
      </c>
    </row>
    <row r="78" customFormat="false" ht="14.25" hidden="false" customHeight="true" outlineLevel="0" collapsed="false">
      <c r="A78" s="23"/>
      <c r="B78" s="24"/>
      <c r="C78" s="24"/>
      <c r="D78" s="24"/>
      <c r="E78" s="24"/>
      <c r="F78" s="25" t="str">
        <f aca="false">IF(A78="","",SUM(B78:E78))</f>
        <v/>
      </c>
      <c r="G78" s="26" t="str">
        <f aca="false">IF(A78="","",B78*Premissas!$C$4+C78*Premissas!$C$7+D78*Premissas!$C$6+E78*Premissas!$C$5)</f>
        <v/>
      </c>
      <c r="H78" s="27" t="str">
        <f aca="false">IF(A78="","",DATE(YEAR(A78),MONTH(A78),1))</f>
        <v/>
      </c>
    </row>
    <row r="79" customFormat="false" ht="14.25" hidden="false" customHeight="true" outlineLevel="0" collapsed="false">
      <c r="A79" s="23"/>
      <c r="B79" s="24"/>
      <c r="C79" s="24"/>
      <c r="D79" s="24"/>
      <c r="E79" s="24"/>
      <c r="F79" s="25" t="str">
        <f aca="false">IF(A79="","",SUM(B79:E79))</f>
        <v/>
      </c>
      <c r="G79" s="26" t="str">
        <f aca="false">IF(A79="","",B79*Premissas!$C$4+C79*Premissas!$C$7+D79*Premissas!$C$6+E79*Premissas!$C$5)</f>
        <v/>
      </c>
      <c r="H79" s="27" t="str">
        <f aca="false">IF(A79="","",DATE(YEAR(A79),MONTH(A79),1))</f>
        <v/>
      </c>
    </row>
    <row r="80" customFormat="false" ht="14.25" hidden="false" customHeight="true" outlineLevel="0" collapsed="false">
      <c r="A80" s="23"/>
      <c r="B80" s="24"/>
      <c r="C80" s="24"/>
      <c r="D80" s="24"/>
      <c r="E80" s="24"/>
      <c r="F80" s="25" t="str">
        <f aca="false">IF(A80="","",SUM(B80:E80))</f>
        <v/>
      </c>
      <c r="G80" s="26" t="str">
        <f aca="false">IF(A80="","",B80*Premissas!$C$4+C80*Premissas!$C$7+D80*Premissas!$C$6+E80*Premissas!$C$5)</f>
        <v/>
      </c>
      <c r="H80" s="27" t="str">
        <f aca="false">IF(A80="","",DATE(YEAR(A80),MONTH(A80),1))</f>
        <v/>
      </c>
    </row>
    <row r="81" customFormat="false" ht="14.25" hidden="false" customHeight="true" outlineLevel="0" collapsed="false">
      <c r="A81" s="23"/>
      <c r="B81" s="24"/>
      <c r="C81" s="24"/>
      <c r="D81" s="24"/>
      <c r="E81" s="24"/>
      <c r="F81" s="25" t="str">
        <f aca="false">IF(A81="","",SUM(B81:E81))</f>
        <v/>
      </c>
      <c r="G81" s="26" t="str">
        <f aca="false">IF(A81="","",B81*Premissas!$C$4+C81*Premissas!$C$7+D81*Premissas!$C$6+E81*Premissas!$C$5)</f>
        <v/>
      </c>
      <c r="H81" s="27" t="str">
        <f aca="false">IF(A81="","",DATE(YEAR(A81),MONTH(A81),1))</f>
        <v/>
      </c>
    </row>
    <row r="82" customFormat="false" ht="14.25" hidden="false" customHeight="true" outlineLevel="0" collapsed="false">
      <c r="A82" s="23"/>
      <c r="B82" s="24"/>
      <c r="C82" s="24"/>
      <c r="D82" s="24"/>
      <c r="E82" s="24"/>
      <c r="F82" s="25" t="str">
        <f aca="false">IF(A82="","",SUM(B82:E82))</f>
        <v/>
      </c>
      <c r="G82" s="26" t="str">
        <f aca="false">IF(A82="","",B82*Premissas!$C$4+C82*Premissas!$C$7+D82*Premissas!$C$6+E82*Premissas!$C$5)</f>
        <v/>
      </c>
      <c r="H82" s="27" t="str">
        <f aca="false">IF(A82="","",DATE(YEAR(A82),MONTH(A82),1))</f>
        <v/>
      </c>
    </row>
    <row r="83" customFormat="false" ht="14.25" hidden="false" customHeight="true" outlineLevel="0" collapsed="false">
      <c r="A83" s="23"/>
      <c r="B83" s="24"/>
      <c r="C83" s="24"/>
      <c r="D83" s="24"/>
      <c r="E83" s="24"/>
      <c r="F83" s="25" t="str">
        <f aca="false">IF(A83="","",SUM(B83:E83))</f>
        <v/>
      </c>
      <c r="G83" s="26" t="str">
        <f aca="false">IF(A83="","",B83*Premissas!$C$4+C83*Premissas!$C$7+D83*Premissas!$C$6+E83*Premissas!$C$5)</f>
        <v/>
      </c>
      <c r="H83" s="27" t="str">
        <f aca="false">IF(A83="","",DATE(YEAR(A83),MONTH(A83),1))</f>
        <v/>
      </c>
    </row>
    <row r="84" customFormat="false" ht="14.25" hidden="false" customHeight="true" outlineLevel="0" collapsed="false">
      <c r="A84" s="23"/>
      <c r="B84" s="24"/>
      <c r="C84" s="24"/>
      <c r="D84" s="24"/>
      <c r="E84" s="24"/>
      <c r="F84" s="25" t="str">
        <f aca="false">IF(A84="","",SUM(B84:E84))</f>
        <v/>
      </c>
      <c r="G84" s="26" t="str">
        <f aca="false">IF(A84="","",B84*Premissas!$C$4+C84*Premissas!$C$7+D84*Premissas!$C$6+E84*Premissas!$C$5)</f>
        <v/>
      </c>
      <c r="H84" s="27" t="str">
        <f aca="false">IF(A84="","",DATE(YEAR(A84),MONTH(A84),1))</f>
        <v/>
      </c>
    </row>
    <row r="85" customFormat="false" ht="14.25" hidden="false" customHeight="true" outlineLevel="0" collapsed="false">
      <c r="A85" s="23"/>
      <c r="B85" s="24"/>
      <c r="C85" s="24"/>
      <c r="D85" s="24"/>
      <c r="E85" s="24"/>
      <c r="F85" s="25" t="str">
        <f aca="false">IF(A85="","",SUM(B85:E85))</f>
        <v/>
      </c>
      <c r="G85" s="26" t="str">
        <f aca="false">IF(A85="","",B85*Premissas!$C$4+C85*Premissas!$C$7+D85*Premissas!$C$6+E85*Premissas!$C$5)</f>
        <v/>
      </c>
      <c r="H85" s="27" t="str">
        <f aca="false">IF(A85="","",DATE(YEAR(A85),MONTH(A85),1))</f>
        <v/>
      </c>
    </row>
    <row r="86" customFormat="false" ht="14.25" hidden="false" customHeight="true" outlineLevel="0" collapsed="false">
      <c r="A86" s="23"/>
      <c r="B86" s="24"/>
      <c r="C86" s="24"/>
      <c r="D86" s="24"/>
      <c r="E86" s="24"/>
      <c r="F86" s="25" t="str">
        <f aca="false">IF(A86="","",SUM(B86:E86))</f>
        <v/>
      </c>
      <c r="G86" s="26" t="str">
        <f aca="false">IF(A86="","",B86*Premissas!$C$4+C86*Premissas!$C$7+D86*Premissas!$C$6+E86*Premissas!$C$5)</f>
        <v/>
      </c>
      <c r="H86" s="27" t="str">
        <f aca="false">IF(A86="","",DATE(YEAR(A86),MONTH(A86),1))</f>
        <v/>
      </c>
    </row>
    <row r="87" customFormat="false" ht="14.25" hidden="false" customHeight="true" outlineLevel="0" collapsed="false">
      <c r="A87" s="23"/>
      <c r="B87" s="24"/>
      <c r="C87" s="24"/>
      <c r="D87" s="24"/>
      <c r="E87" s="24"/>
      <c r="F87" s="25" t="str">
        <f aca="false">IF(A87="","",SUM(B87:E87))</f>
        <v/>
      </c>
      <c r="G87" s="26" t="str">
        <f aca="false">IF(A87="","",B87*Premissas!$C$4+C87*Premissas!$C$7+D87*Premissas!$C$6+E87*Premissas!$C$5)</f>
        <v/>
      </c>
      <c r="H87" s="27" t="str">
        <f aca="false">IF(A87="","",DATE(YEAR(A87),MONTH(A87),1))</f>
        <v/>
      </c>
    </row>
    <row r="88" customFormat="false" ht="14.25" hidden="false" customHeight="true" outlineLevel="0" collapsed="false">
      <c r="A88" s="23"/>
      <c r="B88" s="24"/>
      <c r="C88" s="24"/>
      <c r="D88" s="24"/>
      <c r="E88" s="24"/>
      <c r="F88" s="25" t="str">
        <f aca="false">IF(A88="","",SUM(B88:E88))</f>
        <v/>
      </c>
      <c r="G88" s="26" t="str">
        <f aca="false">IF(A88="","",B88*Premissas!$C$4+C88*Premissas!$C$7+D88*Premissas!$C$6+E88*Premissas!$C$5)</f>
        <v/>
      </c>
      <c r="H88" s="27" t="str">
        <f aca="false">IF(A88="","",DATE(YEAR(A88),MONTH(A88),1))</f>
        <v/>
      </c>
    </row>
    <row r="89" customFormat="false" ht="14.25" hidden="false" customHeight="true" outlineLevel="0" collapsed="false">
      <c r="A89" s="23"/>
      <c r="B89" s="24"/>
      <c r="C89" s="24"/>
      <c r="D89" s="24"/>
      <c r="E89" s="24"/>
      <c r="F89" s="25" t="str">
        <f aca="false">IF(A89="","",SUM(B89:E89))</f>
        <v/>
      </c>
      <c r="G89" s="26" t="str">
        <f aca="false">IF(A89="","",B89*Premissas!$C$4+C89*Premissas!$C$7+D89*Premissas!$C$6+E89*Premissas!$C$5)</f>
        <v/>
      </c>
      <c r="H89" s="27" t="str">
        <f aca="false">IF(A89="","",DATE(YEAR(A89),MONTH(A89),1))</f>
        <v/>
      </c>
    </row>
    <row r="90" customFormat="false" ht="14.25" hidden="false" customHeight="true" outlineLevel="0" collapsed="false">
      <c r="A90" s="23"/>
      <c r="B90" s="24"/>
      <c r="C90" s="24"/>
      <c r="D90" s="24"/>
      <c r="E90" s="24"/>
      <c r="F90" s="25" t="str">
        <f aca="false">IF(A90="","",SUM(B90:E90))</f>
        <v/>
      </c>
      <c r="G90" s="26" t="str">
        <f aca="false">IF(A90="","",B90*Premissas!$C$4+C90*Premissas!$C$7+D90*Premissas!$C$6+E90*Premissas!$C$5)</f>
        <v/>
      </c>
      <c r="H90" s="27" t="str">
        <f aca="false">IF(A90="","",DATE(YEAR(A90),MONTH(A90),1))</f>
        <v/>
      </c>
    </row>
    <row r="91" customFormat="false" ht="14.25" hidden="false" customHeight="true" outlineLevel="0" collapsed="false">
      <c r="A91" s="23"/>
      <c r="B91" s="24"/>
      <c r="C91" s="24"/>
      <c r="D91" s="24"/>
      <c r="E91" s="24"/>
      <c r="F91" s="25" t="str">
        <f aca="false">IF(A91="","",SUM(B91:E91))</f>
        <v/>
      </c>
      <c r="G91" s="26" t="str">
        <f aca="false">IF(A91="","",B91*Premissas!$C$4+C91*Premissas!$C$7+D91*Premissas!$C$6+E91*Premissas!$C$5)</f>
        <v/>
      </c>
      <c r="H91" s="27" t="str">
        <f aca="false">IF(A91="","",DATE(YEAR(A91),MONTH(A91),1))</f>
        <v/>
      </c>
    </row>
    <row r="92" customFormat="false" ht="14.25" hidden="false" customHeight="true" outlineLevel="0" collapsed="false">
      <c r="A92" s="23"/>
      <c r="B92" s="24"/>
      <c r="C92" s="24"/>
      <c r="D92" s="24"/>
      <c r="E92" s="24"/>
      <c r="F92" s="25" t="str">
        <f aca="false">IF(A92="","",SUM(B92:E92))</f>
        <v/>
      </c>
      <c r="G92" s="26" t="str">
        <f aca="false">IF(A92="","",B92*Premissas!$C$4+C92*Premissas!$C$7+D92*Premissas!$C$6+E92*Premissas!$C$5)</f>
        <v/>
      </c>
      <c r="H92" s="27" t="str">
        <f aca="false">IF(A92="","",DATE(YEAR(A92),MONTH(A92),1))</f>
        <v/>
      </c>
    </row>
    <row r="93" customFormat="false" ht="14.25" hidden="false" customHeight="true" outlineLevel="0" collapsed="false">
      <c r="A93" s="23"/>
      <c r="B93" s="24"/>
      <c r="C93" s="24"/>
      <c r="D93" s="24"/>
      <c r="E93" s="24"/>
      <c r="F93" s="25" t="str">
        <f aca="false">IF(A93="","",SUM(B93:E93))</f>
        <v/>
      </c>
      <c r="G93" s="26" t="str">
        <f aca="false">IF(A93="","",B93*Premissas!$C$4+C93*Premissas!$C$7+D93*Premissas!$C$6+E93*Premissas!$C$5)</f>
        <v/>
      </c>
      <c r="H93" s="27" t="str">
        <f aca="false">IF(A93="","",DATE(YEAR(A93),MONTH(A93),1))</f>
        <v/>
      </c>
    </row>
    <row r="94" customFormat="false" ht="14.25" hidden="false" customHeight="true" outlineLevel="0" collapsed="false">
      <c r="A94" s="23"/>
      <c r="B94" s="24"/>
      <c r="C94" s="24"/>
      <c r="D94" s="24"/>
      <c r="E94" s="24"/>
      <c r="F94" s="25" t="str">
        <f aca="false">IF(A94="","",SUM(B94:E94))</f>
        <v/>
      </c>
      <c r="G94" s="26" t="str">
        <f aca="false">IF(A94="","",B94*Premissas!$C$4+C94*Premissas!$C$7+D94*Premissas!$C$6+E94*Premissas!$C$5)</f>
        <v/>
      </c>
      <c r="H94" s="27" t="str">
        <f aca="false">IF(A94="","",DATE(YEAR(A94),MONTH(A94),1))</f>
        <v/>
      </c>
    </row>
    <row r="95" customFormat="false" ht="14.25" hidden="false" customHeight="true" outlineLevel="0" collapsed="false">
      <c r="A95" s="23"/>
      <c r="B95" s="24"/>
      <c r="C95" s="24"/>
      <c r="D95" s="24"/>
      <c r="E95" s="24"/>
      <c r="F95" s="25" t="str">
        <f aca="false">IF(A95="","",SUM(B95:E95))</f>
        <v/>
      </c>
      <c r="G95" s="26" t="str">
        <f aca="false">IF(A95="","",B95*Premissas!$C$4+C95*Premissas!$C$7+D95*Premissas!$C$6+E95*Premissas!$C$5)</f>
        <v/>
      </c>
      <c r="H95" s="27" t="str">
        <f aca="false">IF(A95="","",DATE(YEAR(A95),MONTH(A95),1))</f>
        <v/>
      </c>
    </row>
    <row r="96" customFormat="false" ht="14.25" hidden="false" customHeight="true" outlineLevel="0" collapsed="false">
      <c r="A96" s="23"/>
      <c r="B96" s="24"/>
      <c r="C96" s="24"/>
      <c r="D96" s="24"/>
      <c r="E96" s="24"/>
      <c r="F96" s="25" t="str">
        <f aca="false">IF(A96="","",SUM(B96:E96))</f>
        <v/>
      </c>
      <c r="G96" s="26" t="str">
        <f aca="false">IF(A96="","",B96*Premissas!$C$4+C96*Premissas!$C$7+D96*Premissas!$C$6+E96*Premissas!$C$5)</f>
        <v/>
      </c>
      <c r="H96" s="27" t="str">
        <f aca="false">IF(A96="","",DATE(YEAR(A96),MONTH(A96),1))</f>
        <v/>
      </c>
    </row>
    <row r="97" customFormat="false" ht="14.25" hidden="false" customHeight="true" outlineLevel="0" collapsed="false">
      <c r="A97" s="23"/>
      <c r="B97" s="24"/>
      <c r="C97" s="24"/>
      <c r="D97" s="24"/>
      <c r="E97" s="24"/>
      <c r="F97" s="25" t="str">
        <f aca="false">IF(A97="","",SUM(B97:E97))</f>
        <v/>
      </c>
      <c r="G97" s="26" t="str">
        <f aca="false">IF(A97="","",B97*Premissas!$C$4+C97*Premissas!$C$7+D97*Premissas!$C$6+E97*Premissas!$C$5)</f>
        <v/>
      </c>
      <c r="H97" s="27" t="str">
        <f aca="false">IF(A97="","",DATE(YEAR(A97),MONTH(A97),1))</f>
        <v/>
      </c>
    </row>
    <row r="98" customFormat="false" ht="14.25" hidden="false" customHeight="true" outlineLevel="0" collapsed="false">
      <c r="A98" s="23"/>
      <c r="B98" s="24"/>
      <c r="C98" s="24"/>
      <c r="D98" s="24"/>
      <c r="E98" s="24"/>
      <c r="F98" s="25" t="str">
        <f aca="false">IF(A98="","",SUM(B98:E98))</f>
        <v/>
      </c>
      <c r="G98" s="26" t="str">
        <f aca="false">IF(A98="","",B98*Premissas!$C$4+C98*Premissas!$C$7+D98*Premissas!$C$6+E98*Premissas!$C$5)</f>
        <v/>
      </c>
      <c r="H98" s="27" t="str">
        <f aca="false">IF(A98="","",DATE(YEAR(A98),MONTH(A98),1))</f>
        <v/>
      </c>
    </row>
    <row r="99" customFormat="false" ht="14.25" hidden="false" customHeight="true" outlineLevel="0" collapsed="false">
      <c r="A99" s="23"/>
      <c r="B99" s="24"/>
      <c r="C99" s="24"/>
      <c r="D99" s="24"/>
      <c r="E99" s="24"/>
      <c r="F99" s="25" t="str">
        <f aca="false">IF(A99="","",SUM(B99:E99))</f>
        <v/>
      </c>
      <c r="G99" s="26" t="str">
        <f aca="false">IF(A99="","",B99*Premissas!$C$4+C99*Premissas!$C$7+D99*Premissas!$C$6+E99*Premissas!$C$5)</f>
        <v/>
      </c>
      <c r="H99" s="27" t="str">
        <f aca="false">IF(A99="","",DATE(YEAR(A99),MONTH(A99),1))</f>
        <v/>
      </c>
    </row>
    <row r="100" customFormat="false" ht="14.25" hidden="false" customHeight="true" outlineLevel="0" collapsed="false">
      <c r="A100" s="23"/>
      <c r="B100" s="24"/>
      <c r="C100" s="24"/>
      <c r="D100" s="24"/>
      <c r="E100" s="24"/>
      <c r="F100" s="25" t="str">
        <f aca="false">IF(A100="","",SUM(B100:E100))</f>
        <v/>
      </c>
      <c r="G100" s="26" t="str">
        <f aca="false">IF(A100="","",B100*Premissas!$C$4+C100*Premissas!$C$7+D100*Premissas!$C$6+E100*Premissas!$C$5)</f>
        <v/>
      </c>
      <c r="H100" s="27" t="str">
        <f aca="false">IF(A100="","",DATE(YEAR(A100),MONTH(A100),1))</f>
        <v/>
      </c>
    </row>
    <row r="101" customFormat="false" ht="14.25" hidden="false" customHeight="true" outlineLevel="0" collapsed="false">
      <c r="A101" s="23"/>
      <c r="B101" s="24"/>
      <c r="C101" s="24"/>
      <c r="D101" s="24"/>
      <c r="E101" s="24"/>
      <c r="F101" s="25" t="str">
        <f aca="false">IF(A101="","",SUM(B101:E101))</f>
        <v/>
      </c>
      <c r="G101" s="26" t="str">
        <f aca="false">IF(A101="","",B101*Premissas!$C$4+C101*Premissas!$C$7+D101*Premissas!$C$6+E101*Premissas!$C$5)</f>
        <v/>
      </c>
      <c r="H101" s="27" t="str">
        <f aca="false">IF(A101="","",DATE(YEAR(A101),MONTH(A101),1))</f>
        <v/>
      </c>
    </row>
    <row r="102" customFormat="false" ht="14.25" hidden="false" customHeight="true" outlineLevel="0" collapsed="false">
      <c r="A102" s="23"/>
      <c r="B102" s="24"/>
      <c r="C102" s="24"/>
      <c r="D102" s="24"/>
      <c r="E102" s="24"/>
      <c r="F102" s="25" t="str">
        <f aca="false">IF(A102="","",SUM(B102:E102))</f>
        <v/>
      </c>
      <c r="G102" s="26" t="str">
        <f aca="false">IF(A102="","",B102*Premissas!$C$4+C102*Premissas!$C$7+D102*Premissas!$C$6+E102*Premissas!$C$5)</f>
        <v/>
      </c>
      <c r="H102" s="27" t="str">
        <f aca="false">IF(A102="","",DATE(YEAR(A102),MONTH(A102),1))</f>
        <v/>
      </c>
    </row>
    <row r="103" customFormat="false" ht="14.25" hidden="false" customHeight="true" outlineLevel="0" collapsed="false">
      <c r="A103" s="23"/>
      <c r="B103" s="24"/>
      <c r="C103" s="24"/>
      <c r="D103" s="24"/>
      <c r="E103" s="24"/>
      <c r="F103" s="25" t="str">
        <f aca="false">IF(A103="","",SUM(B103:E103))</f>
        <v/>
      </c>
      <c r="G103" s="26" t="str">
        <f aca="false">IF(A103="","",B103*Premissas!$C$4+C103*Premissas!$C$7+D103*Premissas!$C$6+E103*Premissas!$C$5)</f>
        <v/>
      </c>
      <c r="H103" s="27" t="str">
        <f aca="false">IF(A103="","",DATE(YEAR(A103),MONTH(A103),1))</f>
        <v/>
      </c>
    </row>
    <row r="104" customFormat="false" ht="14.25" hidden="false" customHeight="true" outlineLevel="0" collapsed="false">
      <c r="A104" s="23"/>
      <c r="B104" s="24"/>
      <c r="C104" s="24"/>
      <c r="D104" s="24"/>
      <c r="E104" s="24"/>
      <c r="F104" s="25" t="str">
        <f aca="false">IF(A104="","",SUM(B104:E104))</f>
        <v/>
      </c>
      <c r="G104" s="26" t="str">
        <f aca="false">IF(A104="","",B104*Premissas!$C$4+C104*Premissas!$C$7+D104*Premissas!$C$6+E104*Premissas!$C$5)</f>
        <v/>
      </c>
      <c r="H104" s="27" t="str">
        <f aca="false">IF(A104="","",DATE(YEAR(A104),MONTH(A104),1))</f>
        <v/>
      </c>
    </row>
    <row r="105" customFormat="false" ht="14.25" hidden="false" customHeight="true" outlineLevel="0" collapsed="false">
      <c r="A105" s="23"/>
      <c r="B105" s="24"/>
      <c r="C105" s="24"/>
      <c r="D105" s="24"/>
      <c r="E105" s="24"/>
      <c r="F105" s="25" t="str">
        <f aca="false">IF(A105="","",SUM(B105:E105))</f>
        <v/>
      </c>
      <c r="G105" s="26" t="str">
        <f aca="false">IF(A105="","",B105*Premissas!$C$4+C105*Premissas!$C$7+D105*Premissas!$C$6+E105*Premissas!$C$5)</f>
        <v/>
      </c>
      <c r="H105" s="27" t="str">
        <f aca="false">IF(A105="","",DATE(YEAR(A105),MONTH(A105),1))</f>
        <v/>
      </c>
    </row>
    <row r="106" customFormat="false" ht="14.25" hidden="false" customHeight="true" outlineLevel="0" collapsed="false">
      <c r="A106" s="23"/>
      <c r="B106" s="24"/>
      <c r="C106" s="24"/>
      <c r="D106" s="24"/>
      <c r="E106" s="24"/>
      <c r="F106" s="25" t="str">
        <f aca="false">IF(A106="","",SUM(B106:E106))</f>
        <v/>
      </c>
      <c r="G106" s="26" t="str">
        <f aca="false">IF(A106="","",B106*Premissas!$C$4+C106*Premissas!$C$7+D106*Premissas!$C$6+E106*Premissas!$C$5)</f>
        <v/>
      </c>
      <c r="H106" s="27" t="str">
        <f aca="false">IF(A106="","",DATE(YEAR(A106),MONTH(A106),1))</f>
        <v/>
      </c>
    </row>
    <row r="107" customFormat="false" ht="14.25" hidden="false" customHeight="true" outlineLevel="0" collapsed="false">
      <c r="A107" s="23"/>
      <c r="B107" s="24"/>
      <c r="C107" s="24"/>
      <c r="D107" s="24"/>
      <c r="E107" s="24"/>
      <c r="F107" s="25" t="str">
        <f aca="false">IF(A107="","",SUM(B107:E107))</f>
        <v/>
      </c>
      <c r="G107" s="26" t="str">
        <f aca="false">IF(A107="","",B107*Premissas!$C$4+C107*Premissas!$C$7+D107*Premissas!$C$6+E107*Premissas!$C$5)</f>
        <v/>
      </c>
      <c r="H107" s="27" t="str">
        <f aca="false">IF(A107="","",DATE(YEAR(A107),MONTH(A107),1))</f>
        <v/>
      </c>
    </row>
    <row r="108" customFormat="false" ht="14.25" hidden="false" customHeight="true" outlineLevel="0" collapsed="false">
      <c r="A108" s="23"/>
      <c r="B108" s="24"/>
      <c r="C108" s="24"/>
      <c r="D108" s="24"/>
      <c r="E108" s="24"/>
      <c r="F108" s="25" t="str">
        <f aca="false">IF(A108="","",SUM(B108:E108))</f>
        <v/>
      </c>
      <c r="G108" s="26" t="str">
        <f aca="false">IF(A108="","",B108*Premissas!$C$4+C108*Premissas!$C$7+D108*Premissas!$C$6+E108*Premissas!$C$5)</f>
        <v/>
      </c>
      <c r="H108" s="27" t="str">
        <f aca="false">IF(A108="","",DATE(YEAR(A108),MONTH(A108),1))</f>
        <v/>
      </c>
    </row>
    <row r="109" customFormat="false" ht="14.25" hidden="false" customHeight="true" outlineLevel="0" collapsed="false">
      <c r="A109" s="23"/>
      <c r="B109" s="24"/>
      <c r="C109" s="24"/>
      <c r="D109" s="24"/>
      <c r="E109" s="24"/>
      <c r="F109" s="25" t="str">
        <f aca="false">IF(A109="","",SUM(B109:E109))</f>
        <v/>
      </c>
      <c r="G109" s="26" t="str">
        <f aca="false">IF(A109="","",B109*Premissas!$C$4+C109*Premissas!$C$7+D109*Premissas!$C$6+E109*Premissas!$C$5)</f>
        <v/>
      </c>
      <c r="H109" s="27" t="str">
        <f aca="false">IF(A109="","",DATE(YEAR(A109),MONTH(A109),1))</f>
        <v/>
      </c>
    </row>
    <row r="110" customFormat="false" ht="14.25" hidden="false" customHeight="true" outlineLevel="0" collapsed="false">
      <c r="A110" s="23"/>
      <c r="B110" s="24"/>
      <c r="C110" s="24"/>
      <c r="D110" s="24"/>
      <c r="E110" s="24"/>
      <c r="F110" s="25" t="str">
        <f aca="false">IF(A110="","",SUM(B110:E110))</f>
        <v/>
      </c>
      <c r="G110" s="26" t="str">
        <f aca="false">IF(A110="","",B110*Premissas!$C$4+C110*Premissas!$C$7+D110*Premissas!$C$6+E110*Premissas!$C$5)</f>
        <v/>
      </c>
      <c r="H110" s="27" t="str">
        <f aca="false">IF(A110="","",DATE(YEAR(A110),MONTH(A110),1))</f>
        <v/>
      </c>
    </row>
    <row r="111" customFormat="false" ht="14.25" hidden="false" customHeight="true" outlineLevel="0" collapsed="false">
      <c r="A111" s="23"/>
      <c r="B111" s="24"/>
      <c r="C111" s="24"/>
      <c r="D111" s="24"/>
      <c r="E111" s="24"/>
      <c r="F111" s="25" t="str">
        <f aca="false">IF(A111="","",SUM(B111:E111))</f>
        <v/>
      </c>
      <c r="G111" s="26" t="str">
        <f aca="false">IF(A111="","",B111*Premissas!$C$4+C111*Premissas!$C$7+D111*Premissas!$C$6+E111*Premissas!$C$5)</f>
        <v/>
      </c>
      <c r="H111" s="27" t="str">
        <f aca="false">IF(A111="","",DATE(YEAR(A111),MONTH(A111),1))</f>
        <v/>
      </c>
    </row>
    <row r="112" customFormat="false" ht="14.25" hidden="false" customHeight="true" outlineLevel="0" collapsed="false">
      <c r="A112" s="23"/>
      <c r="B112" s="24"/>
      <c r="C112" s="24"/>
      <c r="D112" s="24"/>
      <c r="E112" s="24"/>
      <c r="F112" s="25" t="str">
        <f aca="false">IF(A112="","",SUM(B112:E112))</f>
        <v/>
      </c>
      <c r="G112" s="26" t="str">
        <f aca="false">IF(A112="","",B112*Premissas!$C$4+C112*Premissas!$C$7+D112*Premissas!$C$6+E112*Premissas!$C$5)</f>
        <v/>
      </c>
      <c r="H112" s="27" t="str">
        <f aca="false">IF(A112="","",DATE(YEAR(A112),MONTH(A112),1))</f>
        <v/>
      </c>
    </row>
    <row r="113" customFormat="false" ht="14.25" hidden="false" customHeight="true" outlineLevel="0" collapsed="false">
      <c r="A113" s="23"/>
      <c r="B113" s="24"/>
      <c r="C113" s="24"/>
      <c r="D113" s="24"/>
      <c r="E113" s="24"/>
      <c r="F113" s="25" t="str">
        <f aca="false">IF(A113="","",SUM(B113:E113))</f>
        <v/>
      </c>
      <c r="G113" s="26" t="str">
        <f aca="false">IF(A113="","",B113*Premissas!$C$4+C113*Premissas!$C$7+D113*Premissas!$C$6+E113*Premissas!$C$5)</f>
        <v/>
      </c>
      <c r="H113" s="27" t="str">
        <f aca="false">IF(A113="","",DATE(YEAR(A113),MONTH(A113),1))</f>
        <v/>
      </c>
    </row>
    <row r="114" customFormat="false" ht="14.25" hidden="false" customHeight="true" outlineLevel="0" collapsed="false">
      <c r="A114" s="23"/>
      <c r="B114" s="24"/>
      <c r="C114" s="24"/>
      <c r="D114" s="24"/>
      <c r="E114" s="24"/>
      <c r="F114" s="25" t="str">
        <f aca="false">IF(A114="","",SUM(B114:E114))</f>
        <v/>
      </c>
      <c r="G114" s="26" t="str">
        <f aca="false">IF(A114="","",B114*Premissas!$C$4+C114*Premissas!$C$7+D114*Premissas!$C$6+E114*Premissas!$C$5)</f>
        <v/>
      </c>
      <c r="H114" s="27" t="str">
        <f aca="false">IF(A114="","",DATE(YEAR(A114),MONTH(A114),1))</f>
        <v/>
      </c>
    </row>
    <row r="115" customFormat="false" ht="14.25" hidden="false" customHeight="true" outlineLevel="0" collapsed="false">
      <c r="A115" s="23"/>
      <c r="B115" s="24"/>
      <c r="C115" s="24"/>
      <c r="D115" s="24"/>
      <c r="E115" s="24"/>
      <c r="F115" s="25" t="str">
        <f aca="false">IF(A115="","",SUM(B115:E115))</f>
        <v/>
      </c>
      <c r="G115" s="26" t="str">
        <f aca="false">IF(A115="","",B115*Premissas!$C$4+C115*Premissas!$C$7+D115*Premissas!$C$6+E115*Premissas!$C$5)</f>
        <v/>
      </c>
      <c r="H115" s="27" t="str">
        <f aca="false">IF(A115="","",DATE(YEAR(A115),MONTH(A115),1))</f>
        <v/>
      </c>
    </row>
    <row r="116" customFormat="false" ht="14.25" hidden="false" customHeight="true" outlineLevel="0" collapsed="false">
      <c r="A116" s="23"/>
      <c r="B116" s="24"/>
      <c r="C116" s="24"/>
      <c r="D116" s="24"/>
      <c r="E116" s="24"/>
      <c r="F116" s="25" t="str">
        <f aca="false">IF(A116="","",SUM(B116:E116))</f>
        <v/>
      </c>
      <c r="G116" s="26" t="str">
        <f aca="false">IF(A116="","",B116*Premissas!$C$4+C116*Premissas!$C$7+D116*Premissas!$C$6+E116*Premissas!$C$5)</f>
        <v/>
      </c>
      <c r="H116" s="27" t="str">
        <f aca="false">IF(A116="","",DATE(YEAR(A116),MONTH(A116),1))</f>
        <v/>
      </c>
    </row>
    <row r="117" customFormat="false" ht="14.25" hidden="false" customHeight="true" outlineLevel="0" collapsed="false">
      <c r="A117" s="23"/>
      <c r="B117" s="24"/>
      <c r="C117" s="24"/>
      <c r="D117" s="24"/>
      <c r="E117" s="24"/>
      <c r="F117" s="25" t="str">
        <f aca="false">IF(A117="","",SUM(B117:E117))</f>
        <v/>
      </c>
      <c r="G117" s="26" t="str">
        <f aca="false">IF(A117="","",B117*Premissas!$C$4+C117*Premissas!$C$7+D117*Premissas!$C$6+E117*Premissas!$C$5)</f>
        <v/>
      </c>
      <c r="H117" s="27" t="str">
        <f aca="false">IF(A117="","",DATE(YEAR(A117),MONTH(A117),1))</f>
        <v/>
      </c>
    </row>
    <row r="118" customFormat="false" ht="14.25" hidden="false" customHeight="true" outlineLevel="0" collapsed="false">
      <c r="A118" s="23"/>
      <c r="B118" s="24"/>
      <c r="C118" s="24"/>
      <c r="D118" s="24"/>
      <c r="E118" s="24"/>
      <c r="F118" s="25" t="str">
        <f aca="false">IF(A118="","",SUM(B118:E118))</f>
        <v/>
      </c>
      <c r="G118" s="26" t="str">
        <f aca="false">IF(A118="","",B118*Premissas!$C$4+C118*Premissas!$C$7+D118*Premissas!$C$6+E118*Premissas!$C$5)</f>
        <v/>
      </c>
      <c r="H118" s="27" t="str">
        <f aca="false">IF(A118="","",DATE(YEAR(A118),MONTH(A118),1))</f>
        <v/>
      </c>
    </row>
    <row r="119" customFormat="false" ht="14.25" hidden="false" customHeight="true" outlineLevel="0" collapsed="false">
      <c r="A119" s="23"/>
      <c r="B119" s="24"/>
      <c r="C119" s="24"/>
      <c r="D119" s="24"/>
      <c r="E119" s="24"/>
      <c r="F119" s="25" t="str">
        <f aca="false">IF(A119="","",SUM(B119:E119))</f>
        <v/>
      </c>
      <c r="G119" s="26" t="str">
        <f aca="false">IF(A119="","",B119*Premissas!$C$4+C119*Premissas!$C$7+D119*Premissas!$C$6+E119*Premissas!$C$5)</f>
        <v/>
      </c>
      <c r="H119" s="27" t="str">
        <f aca="false">IF(A119="","",DATE(YEAR(A119),MONTH(A119),1))</f>
        <v/>
      </c>
    </row>
    <row r="120" customFormat="false" ht="14.25" hidden="false" customHeight="true" outlineLevel="0" collapsed="false">
      <c r="A120" s="23"/>
      <c r="B120" s="24"/>
      <c r="C120" s="24"/>
      <c r="D120" s="24"/>
      <c r="E120" s="24"/>
      <c r="F120" s="25" t="str">
        <f aca="false">IF(A120="","",SUM(B120:E120))</f>
        <v/>
      </c>
      <c r="G120" s="26" t="str">
        <f aca="false">IF(A120="","",B120*Premissas!$C$4+C120*Premissas!$C$7+D120*Premissas!$C$6+E120*Premissas!$C$5)</f>
        <v/>
      </c>
      <c r="H120" s="27" t="str">
        <f aca="false">IF(A120="","",DATE(YEAR(A120),MONTH(A120),1))</f>
        <v/>
      </c>
    </row>
    <row r="121" customFormat="false" ht="14.25" hidden="false" customHeight="true" outlineLevel="0" collapsed="false">
      <c r="A121" s="23"/>
      <c r="B121" s="24"/>
      <c r="C121" s="24"/>
      <c r="D121" s="24"/>
      <c r="E121" s="24"/>
      <c r="F121" s="25" t="str">
        <f aca="false">IF(A121="","",SUM(B121:E121))</f>
        <v/>
      </c>
      <c r="G121" s="26" t="str">
        <f aca="false">IF(A121="","",B121*Premissas!$C$4+C121*Premissas!$C$7+D121*Premissas!$C$6+E121*Premissas!$C$5)</f>
        <v/>
      </c>
      <c r="H121" s="27" t="str">
        <f aca="false">IF(A121="","",DATE(YEAR(A121),MONTH(A121),1))</f>
        <v/>
      </c>
    </row>
    <row r="122" customFormat="false" ht="14.25" hidden="false" customHeight="true" outlineLevel="0" collapsed="false">
      <c r="A122" s="23"/>
      <c r="B122" s="24"/>
      <c r="C122" s="24"/>
      <c r="D122" s="24"/>
      <c r="E122" s="24"/>
      <c r="F122" s="25" t="str">
        <f aca="false">IF(A122="","",SUM(B122:E122))</f>
        <v/>
      </c>
      <c r="G122" s="26" t="str">
        <f aca="false">IF(A122="","",B122*Premissas!$C$4+C122*Premissas!$C$7+D122*Premissas!$C$6+E122*Premissas!$C$5)</f>
        <v/>
      </c>
      <c r="H122" s="27" t="str">
        <f aca="false">IF(A122="","",DATE(YEAR(A122),MONTH(A122),1))</f>
        <v/>
      </c>
    </row>
    <row r="123" customFormat="false" ht="14.25" hidden="false" customHeight="true" outlineLevel="0" collapsed="false">
      <c r="A123" s="23"/>
      <c r="B123" s="24"/>
      <c r="C123" s="24"/>
      <c r="D123" s="24"/>
      <c r="E123" s="24"/>
      <c r="F123" s="25" t="str">
        <f aca="false">IF(A123="","",SUM(B123:E123))</f>
        <v/>
      </c>
      <c r="G123" s="26" t="str">
        <f aca="false">IF(A123="","",B123*Premissas!$C$4+C123*Premissas!$C$7+D123*Premissas!$C$6+E123*Premissas!$C$5)</f>
        <v/>
      </c>
      <c r="H123" s="27" t="str">
        <f aca="false">IF(A123="","",DATE(YEAR(A123),MONTH(A123),1))</f>
        <v/>
      </c>
    </row>
    <row r="124" customFormat="false" ht="14.25" hidden="false" customHeight="true" outlineLevel="0" collapsed="false">
      <c r="A124" s="23"/>
      <c r="B124" s="24"/>
      <c r="C124" s="24"/>
      <c r="D124" s="24"/>
      <c r="E124" s="24"/>
      <c r="F124" s="25" t="str">
        <f aca="false">IF(A124="","",SUM(B124:E124))</f>
        <v/>
      </c>
      <c r="G124" s="26" t="str">
        <f aca="false">IF(A124="","",B124*Premissas!$C$4+C124*Premissas!$C$7+D124*Premissas!$C$6+E124*Premissas!$C$5)</f>
        <v/>
      </c>
      <c r="H124" s="27" t="str">
        <f aca="false">IF(A124="","",DATE(YEAR(A124),MONTH(A124),1))</f>
        <v/>
      </c>
    </row>
    <row r="125" customFormat="false" ht="14.25" hidden="false" customHeight="true" outlineLevel="0" collapsed="false">
      <c r="A125" s="23"/>
      <c r="B125" s="24"/>
      <c r="C125" s="24"/>
      <c r="D125" s="24"/>
      <c r="E125" s="24"/>
      <c r="F125" s="25" t="str">
        <f aca="false">IF(A125="","",SUM(B125:E125))</f>
        <v/>
      </c>
      <c r="G125" s="26" t="str">
        <f aca="false">IF(A125="","",B125*Premissas!$C$4+C125*Premissas!$C$7+D125*Premissas!$C$6+E125*Premissas!$C$5)</f>
        <v/>
      </c>
      <c r="H125" s="27" t="str">
        <f aca="false">IF(A125="","",DATE(YEAR(A125),MONTH(A125),1))</f>
        <v/>
      </c>
    </row>
    <row r="126" customFormat="false" ht="14.25" hidden="false" customHeight="true" outlineLevel="0" collapsed="false">
      <c r="A126" s="23"/>
      <c r="B126" s="24"/>
      <c r="C126" s="24"/>
      <c r="D126" s="24"/>
      <c r="E126" s="24"/>
      <c r="F126" s="25" t="str">
        <f aca="false">IF(A126="","",SUM(B126:E126))</f>
        <v/>
      </c>
      <c r="G126" s="26" t="str">
        <f aca="false">IF(A126="","",B126*Premissas!$C$4+C126*Premissas!$C$7+D126*Premissas!$C$6+E126*Premissas!$C$5)</f>
        <v/>
      </c>
      <c r="H126" s="27" t="str">
        <f aca="false">IF(A126="","",DATE(YEAR(A126),MONTH(A126),1))</f>
        <v/>
      </c>
    </row>
    <row r="127" customFormat="false" ht="14.25" hidden="false" customHeight="true" outlineLevel="0" collapsed="false">
      <c r="A127" s="23"/>
      <c r="B127" s="24"/>
      <c r="C127" s="24"/>
      <c r="D127" s="24"/>
      <c r="E127" s="24"/>
      <c r="F127" s="25" t="str">
        <f aca="false">IF(A127="","",SUM(B127:E127))</f>
        <v/>
      </c>
      <c r="G127" s="26" t="str">
        <f aca="false">IF(A127="","",B127*Premissas!$C$4+C127*Premissas!$C$7+D127*Premissas!$C$6+E127*Premissas!$C$5)</f>
        <v/>
      </c>
      <c r="H127" s="27" t="str">
        <f aca="false">IF(A127="","",DATE(YEAR(A127),MONTH(A127),1))</f>
        <v/>
      </c>
    </row>
    <row r="128" customFormat="false" ht="14.25" hidden="false" customHeight="true" outlineLevel="0" collapsed="false">
      <c r="A128" s="23"/>
      <c r="B128" s="24"/>
      <c r="C128" s="24"/>
      <c r="D128" s="24"/>
      <c r="E128" s="24"/>
      <c r="F128" s="25" t="str">
        <f aca="false">IF(A128="","",SUM(B128:E128))</f>
        <v/>
      </c>
      <c r="G128" s="26" t="str">
        <f aca="false">IF(A128="","",B128*Premissas!$C$4+C128*Premissas!$C$7+D128*Premissas!$C$6+E128*Premissas!$C$5)</f>
        <v/>
      </c>
      <c r="H128" s="27" t="str">
        <f aca="false">IF(A128="","",DATE(YEAR(A128),MONTH(A128),1))</f>
        <v/>
      </c>
    </row>
    <row r="129" customFormat="false" ht="14.25" hidden="false" customHeight="true" outlineLevel="0" collapsed="false">
      <c r="A129" s="23"/>
      <c r="B129" s="24"/>
      <c r="C129" s="24"/>
      <c r="D129" s="24"/>
      <c r="E129" s="24"/>
      <c r="F129" s="25" t="str">
        <f aca="false">IF(A129="","",SUM(B129:E129))</f>
        <v/>
      </c>
      <c r="G129" s="26" t="str">
        <f aca="false">IF(A129="","",B129*Premissas!$C$4+C129*Premissas!$C$7+D129*Premissas!$C$6+E129*Premissas!$C$5)</f>
        <v/>
      </c>
      <c r="H129" s="27" t="str">
        <f aca="false">IF(A129="","",DATE(YEAR(A129),MONTH(A129),1))</f>
        <v/>
      </c>
    </row>
    <row r="130" customFormat="false" ht="14.25" hidden="false" customHeight="true" outlineLevel="0" collapsed="false">
      <c r="A130" s="23"/>
      <c r="B130" s="24"/>
      <c r="C130" s="24"/>
      <c r="D130" s="24"/>
      <c r="E130" s="24"/>
      <c r="F130" s="25" t="str">
        <f aca="false">IF(A130="","",SUM(B130:E130))</f>
        <v/>
      </c>
      <c r="G130" s="26" t="str">
        <f aca="false">IF(A130="","",B130*Premissas!$C$4+C130*Premissas!$C$7+D130*Premissas!$C$6+E130*Premissas!$C$5)</f>
        <v/>
      </c>
      <c r="H130" s="27" t="str">
        <f aca="false">IF(A130="","",DATE(YEAR(A130),MONTH(A130),1))</f>
        <v/>
      </c>
    </row>
    <row r="131" customFormat="false" ht="14.25" hidden="false" customHeight="true" outlineLevel="0" collapsed="false">
      <c r="A131" s="23"/>
      <c r="B131" s="24"/>
      <c r="C131" s="24"/>
      <c r="D131" s="24"/>
      <c r="E131" s="24"/>
      <c r="F131" s="25" t="str">
        <f aca="false">IF(A131="","",SUM(B131:E131))</f>
        <v/>
      </c>
      <c r="G131" s="26" t="str">
        <f aca="false">IF(A131="","",B131*Premissas!$C$4+C131*Premissas!$C$7+D131*Premissas!$C$6+E131*Premissas!$C$5)</f>
        <v/>
      </c>
      <c r="H131" s="27" t="str">
        <f aca="false">IF(A131="","",DATE(YEAR(A131),MONTH(A131),1))</f>
        <v/>
      </c>
    </row>
    <row r="132" customFormat="false" ht="14.25" hidden="false" customHeight="true" outlineLevel="0" collapsed="false">
      <c r="A132" s="23"/>
      <c r="B132" s="24"/>
      <c r="C132" s="24"/>
      <c r="D132" s="24"/>
      <c r="E132" s="24"/>
      <c r="F132" s="25" t="str">
        <f aca="false">IF(A132="","",SUM(B132:E132))</f>
        <v/>
      </c>
      <c r="G132" s="26" t="str">
        <f aca="false">IF(A132="","",B132*Premissas!$C$4+C132*Premissas!$C$7+D132*Premissas!$C$6+E132*Premissas!$C$5)</f>
        <v/>
      </c>
      <c r="H132" s="27" t="str">
        <f aca="false">IF(A132="","",DATE(YEAR(A132),MONTH(A132),1))</f>
        <v/>
      </c>
    </row>
    <row r="133" customFormat="false" ht="14.25" hidden="false" customHeight="true" outlineLevel="0" collapsed="false">
      <c r="A133" s="23"/>
      <c r="B133" s="24"/>
      <c r="C133" s="24"/>
      <c r="D133" s="24"/>
      <c r="E133" s="24"/>
      <c r="F133" s="25" t="str">
        <f aca="false">IF(A133="","",SUM(B133:E133))</f>
        <v/>
      </c>
      <c r="G133" s="26" t="str">
        <f aca="false">IF(A133="","",B133*Premissas!$C$4+C133*Premissas!$C$7+D133*Premissas!$C$6+E133*Premissas!$C$5)</f>
        <v/>
      </c>
      <c r="H133" s="27" t="str">
        <f aca="false">IF(A133="","",DATE(YEAR(A133),MONTH(A133),1))</f>
        <v/>
      </c>
    </row>
    <row r="134" customFormat="false" ht="14.25" hidden="false" customHeight="true" outlineLevel="0" collapsed="false">
      <c r="A134" s="23"/>
      <c r="B134" s="24"/>
      <c r="C134" s="24"/>
      <c r="D134" s="24"/>
      <c r="E134" s="24"/>
      <c r="F134" s="25" t="str">
        <f aca="false">IF(A134="","",SUM(B134:E134))</f>
        <v/>
      </c>
      <c r="G134" s="26" t="str">
        <f aca="false">IF(A134="","",B134*Premissas!$C$4+C134*Premissas!$C$7+D134*Premissas!$C$6+E134*Premissas!$C$5)</f>
        <v/>
      </c>
      <c r="H134" s="27" t="str">
        <f aca="false">IF(A134="","",DATE(YEAR(A134),MONTH(A134),1))</f>
        <v/>
      </c>
    </row>
    <row r="135" customFormat="false" ht="14.25" hidden="false" customHeight="true" outlineLevel="0" collapsed="false">
      <c r="A135" s="23"/>
      <c r="B135" s="24"/>
      <c r="C135" s="24"/>
      <c r="D135" s="24"/>
      <c r="E135" s="24"/>
      <c r="F135" s="25" t="str">
        <f aca="false">IF(A135="","",SUM(B135:E135))</f>
        <v/>
      </c>
      <c r="G135" s="26" t="str">
        <f aca="false">IF(A135="","",B135*Premissas!$C$4+C135*Premissas!$C$7+D135*Premissas!$C$6+E135*Premissas!$C$5)</f>
        <v/>
      </c>
      <c r="H135" s="27" t="str">
        <f aca="false">IF(A135="","",DATE(YEAR(A135),MONTH(A135),1))</f>
        <v/>
      </c>
    </row>
    <row r="136" customFormat="false" ht="14.25" hidden="false" customHeight="true" outlineLevel="0" collapsed="false">
      <c r="A136" s="23"/>
      <c r="B136" s="24"/>
      <c r="C136" s="24"/>
      <c r="D136" s="24"/>
      <c r="E136" s="24"/>
      <c r="F136" s="25" t="str">
        <f aca="false">IF(A136="","",SUM(B136:E136))</f>
        <v/>
      </c>
      <c r="G136" s="26" t="str">
        <f aca="false">IF(A136="","",B136*Premissas!$C$4+C136*Premissas!$C$7+D136*Premissas!$C$6+E136*Premissas!$C$5)</f>
        <v/>
      </c>
      <c r="H136" s="27" t="str">
        <f aca="false">IF(A136="","",DATE(YEAR(A136),MONTH(A136),1))</f>
        <v/>
      </c>
    </row>
    <row r="137" customFormat="false" ht="14.25" hidden="false" customHeight="true" outlineLevel="0" collapsed="false">
      <c r="A137" s="23"/>
      <c r="B137" s="24"/>
      <c r="C137" s="24"/>
      <c r="D137" s="24"/>
      <c r="E137" s="24"/>
      <c r="F137" s="25" t="str">
        <f aca="false">IF(A137="","",SUM(B137:E137))</f>
        <v/>
      </c>
      <c r="G137" s="26" t="str">
        <f aca="false">IF(A137="","",B137*Premissas!$C$4+C137*Premissas!$C$7+D137*Premissas!$C$6+E137*Premissas!$C$5)</f>
        <v/>
      </c>
      <c r="H137" s="27" t="str">
        <f aca="false">IF(A137="","",DATE(YEAR(A137),MONTH(A137),1))</f>
        <v/>
      </c>
    </row>
    <row r="138" customFormat="false" ht="14.25" hidden="false" customHeight="true" outlineLevel="0" collapsed="false">
      <c r="A138" s="23"/>
      <c r="B138" s="24"/>
      <c r="C138" s="24"/>
      <c r="D138" s="24"/>
      <c r="E138" s="24"/>
      <c r="F138" s="25" t="str">
        <f aca="false">IF(A138="","",SUM(B138:E138))</f>
        <v/>
      </c>
      <c r="G138" s="26" t="str">
        <f aca="false">IF(A138="","",B138*Premissas!$C$4+C138*Premissas!$C$7+D138*Premissas!$C$6+E138*Premissas!$C$5)</f>
        <v/>
      </c>
      <c r="H138" s="27" t="str">
        <f aca="false">IF(A138="","",DATE(YEAR(A138),MONTH(A138),1))</f>
        <v/>
      </c>
    </row>
    <row r="139" customFormat="false" ht="14.25" hidden="false" customHeight="true" outlineLevel="0" collapsed="false">
      <c r="A139" s="23"/>
      <c r="B139" s="24"/>
      <c r="C139" s="24"/>
      <c r="D139" s="24"/>
      <c r="E139" s="24"/>
      <c r="F139" s="25" t="str">
        <f aca="false">IF(A139="","",SUM(B139:E139))</f>
        <v/>
      </c>
      <c r="G139" s="26" t="str">
        <f aca="false">IF(A139="","",B139*Premissas!$C$4+C139*Premissas!$C$7+D139*Premissas!$C$6+E139*Premissas!$C$5)</f>
        <v/>
      </c>
      <c r="H139" s="27" t="str">
        <f aca="false">IF(A139="","",DATE(YEAR(A139),MONTH(A139),1))</f>
        <v/>
      </c>
    </row>
    <row r="140" customFormat="false" ht="14.25" hidden="false" customHeight="true" outlineLevel="0" collapsed="false">
      <c r="A140" s="23"/>
      <c r="B140" s="24"/>
      <c r="C140" s="24"/>
      <c r="D140" s="24"/>
      <c r="E140" s="24"/>
      <c r="F140" s="25" t="str">
        <f aca="false">IF(A140="","",SUM(B140:E140))</f>
        <v/>
      </c>
      <c r="G140" s="26" t="str">
        <f aca="false">IF(A140="","",B140*Premissas!$C$4+C140*Premissas!$C$7+D140*Premissas!$C$6+E140*Premissas!$C$5)</f>
        <v/>
      </c>
      <c r="H140" s="27" t="str">
        <f aca="false">IF(A140="","",DATE(YEAR(A140),MONTH(A140),1))</f>
        <v/>
      </c>
    </row>
    <row r="141" customFormat="false" ht="14.25" hidden="false" customHeight="true" outlineLevel="0" collapsed="false">
      <c r="A141" s="23"/>
      <c r="B141" s="24"/>
      <c r="C141" s="24"/>
      <c r="D141" s="24"/>
      <c r="E141" s="24"/>
      <c r="F141" s="25" t="str">
        <f aca="false">IF(A141="","",SUM(B141:E141))</f>
        <v/>
      </c>
      <c r="G141" s="26" t="str">
        <f aca="false">IF(A141="","",B141*Premissas!$C$4+C141*Premissas!$C$7+D141*Premissas!$C$6+E141*Premissas!$C$5)</f>
        <v/>
      </c>
      <c r="H141" s="27" t="str">
        <f aca="false">IF(A141="","",DATE(YEAR(A141),MONTH(A141),1))</f>
        <v/>
      </c>
    </row>
    <row r="142" customFormat="false" ht="14.25" hidden="false" customHeight="true" outlineLevel="0" collapsed="false">
      <c r="A142" s="23"/>
      <c r="B142" s="24"/>
      <c r="C142" s="24"/>
      <c r="D142" s="24"/>
      <c r="E142" s="24"/>
      <c r="F142" s="25" t="str">
        <f aca="false">IF(A142="","",SUM(B142:E142))</f>
        <v/>
      </c>
      <c r="G142" s="26" t="str">
        <f aca="false">IF(A142="","",B142*Premissas!$C$4+C142*Premissas!$C$7+D142*Premissas!$C$6+E142*Premissas!$C$5)</f>
        <v/>
      </c>
      <c r="H142" s="27" t="str">
        <f aca="false">IF(A142="","",DATE(YEAR(A142),MONTH(A142),1))</f>
        <v/>
      </c>
    </row>
    <row r="143" customFormat="false" ht="14.25" hidden="false" customHeight="true" outlineLevel="0" collapsed="false">
      <c r="A143" s="23"/>
      <c r="B143" s="24"/>
      <c r="C143" s="24"/>
      <c r="D143" s="24"/>
      <c r="E143" s="24"/>
      <c r="F143" s="25" t="str">
        <f aca="false">IF(A143="","",SUM(B143:E143))</f>
        <v/>
      </c>
      <c r="G143" s="26" t="str">
        <f aca="false">IF(A143="","",B143*Premissas!$C$4+C143*Premissas!$C$7+D143*Premissas!$C$6+E143*Premissas!$C$5)</f>
        <v/>
      </c>
      <c r="H143" s="27" t="str">
        <f aca="false">IF(A143="","",DATE(YEAR(A143),MONTH(A143),1))</f>
        <v/>
      </c>
    </row>
    <row r="144" customFormat="false" ht="14.25" hidden="false" customHeight="true" outlineLevel="0" collapsed="false">
      <c r="A144" s="23"/>
      <c r="B144" s="24"/>
      <c r="C144" s="24"/>
      <c r="D144" s="24"/>
      <c r="E144" s="24"/>
      <c r="F144" s="25" t="str">
        <f aca="false">IF(A144="","",SUM(B144:E144))</f>
        <v/>
      </c>
      <c r="G144" s="26" t="str">
        <f aca="false">IF(A144="","",B144*Premissas!$C$4+C144*Premissas!$C$7+D144*Premissas!$C$6+E144*Premissas!$C$5)</f>
        <v/>
      </c>
      <c r="H144" s="27" t="str">
        <f aca="false">IF(A144="","",DATE(YEAR(A144),MONTH(A144),1))</f>
        <v/>
      </c>
    </row>
    <row r="145" customFormat="false" ht="14.25" hidden="false" customHeight="true" outlineLevel="0" collapsed="false">
      <c r="A145" s="23"/>
      <c r="B145" s="24"/>
      <c r="C145" s="24"/>
      <c r="D145" s="24"/>
      <c r="E145" s="24"/>
      <c r="F145" s="25" t="str">
        <f aca="false">IF(A145="","",SUM(B145:E145))</f>
        <v/>
      </c>
      <c r="G145" s="26" t="str">
        <f aca="false">IF(A145="","",B145*Premissas!$C$4+C145*Premissas!$C$7+D145*Premissas!$C$6+E145*Premissas!$C$5)</f>
        <v/>
      </c>
      <c r="H145" s="27" t="str">
        <f aca="false">IF(A145="","",DATE(YEAR(A145),MONTH(A145),1))</f>
        <v/>
      </c>
    </row>
    <row r="146" customFormat="false" ht="14.25" hidden="false" customHeight="true" outlineLevel="0" collapsed="false">
      <c r="A146" s="23"/>
      <c r="B146" s="24"/>
      <c r="C146" s="24"/>
      <c r="D146" s="24"/>
      <c r="E146" s="24"/>
      <c r="F146" s="25" t="str">
        <f aca="false">IF(A146="","",SUM(B146:E146))</f>
        <v/>
      </c>
      <c r="G146" s="26" t="str">
        <f aca="false">IF(A146="","",B146*Premissas!$C$4+C146*Premissas!$C$7+D146*Premissas!$C$6+E146*Premissas!$C$5)</f>
        <v/>
      </c>
      <c r="H146" s="27" t="str">
        <f aca="false">IF(A146="","",DATE(YEAR(A146),MONTH(A146),1))</f>
        <v/>
      </c>
    </row>
    <row r="147" customFormat="false" ht="14.25" hidden="false" customHeight="true" outlineLevel="0" collapsed="false">
      <c r="A147" s="23"/>
      <c r="B147" s="24"/>
      <c r="C147" s="24"/>
      <c r="D147" s="24"/>
      <c r="E147" s="24"/>
      <c r="F147" s="25" t="str">
        <f aca="false">IF(A147="","",SUM(B147:E147))</f>
        <v/>
      </c>
      <c r="G147" s="26" t="str">
        <f aca="false">IF(A147="","",B147*Premissas!$C$4+C147*Premissas!$C$7+D147*Premissas!$C$6+E147*Premissas!$C$5)</f>
        <v/>
      </c>
      <c r="H147" s="27" t="str">
        <f aca="false">IF(A147="","",DATE(YEAR(A147),MONTH(A147),1))</f>
        <v/>
      </c>
    </row>
    <row r="148" customFormat="false" ht="14.25" hidden="false" customHeight="true" outlineLevel="0" collapsed="false">
      <c r="A148" s="23"/>
      <c r="B148" s="24"/>
      <c r="C148" s="24"/>
      <c r="D148" s="24"/>
      <c r="E148" s="24"/>
      <c r="F148" s="25" t="str">
        <f aca="false">IF(A148="","",SUM(B148:E148))</f>
        <v/>
      </c>
      <c r="G148" s="26" t="str">
        <f aca="false">IF(A148="","",B148*Premissas!$C$4+C148*Premissas!$C$7+D148*Premissas!$C$6+E148*Premissas!$C$5)</f>
        <v/>
      </c>
      <c r="H148" s="27" t="str">
        <f aca="false">IF(A148="","",DATE(YEAR(A148),MONTH(A148),1))</f>
        <v/>
      </c>
    </row>
    <row r="149" customFormat="false" ht="14.25" hidden="false" customHeight="true" outlineLevel="0" collapsed="false">
      <c r="A149" s="23"/>
      <c r="B149" s="24"/>
      <c r="C149" s="24"/>
      <c r="D149" s="24"/>
      <c r="E149" s="24"/>
      <c r="F149" s="25" t="str">
        <f aca="false">IF(A149="","",SUM(B149:E149))</f>
        <v/>
      </c>
      <c r="G149" s="26" t="str">
        <f aca="false">IF(A149="","",B149*Premissas!$C$4+C149*Premissas!$C$7+D149*Premissas!$C$6+E149*Premissas!$C$5)</f>
        <v/>
      </c>
      <c r="H149" s="27" t="str">
        <f aca="false">IF(A149="","",DATE(YEAR(A149),MONTH(A149),1))</f>
        <v/>
      </c>
    </row>
    <row r="150" customFormat="false" ht="14.25" hidden="false" customHeight="true" outlineLevel="0" collapsed="false">
      <c r="A150" s="23"/>
      <c r="B150" s="24"/>
      <c r="C150" s="24"/>
      <c r="D150" s="24"/>
      <c r="E150" s="24"/>
      <c r="F150" s="25" t="str">
        <f aca="false">IF(A150="","",SUM(B150:E150))</f>
        <v/>
      </c>
      <c r="G150" s="26" t="str">
        <f aca="false">IF(A150="","",B150*Premissas!$C$4+C150*Premissas!$C$7+D150*Premissas!$C$6+E150*Premissas!$C$5)</f>
        <v/>
      </c>
      <c r="H150" s="27" t="str">
        <f aca="false">IF(A150="","",DATE(YEAR(A150),MONTH(A150),1))</f>
        <v/>
      </c>
    </row>
    <row r="151" customFormat="false" ht="14.25" hidden="false" customHeight="true" outlineLevel="0" collapsed="false">
      <c r="A151" s="23"/>
      <c r="B151" s="24"/>
      <c r="C151" s="24"/>
      <c r="D151" s="24"/>
      <c r="E151" s="24"/>
      <c r="F151" s="25" t="str">
        <f aca="false">IF(A151="","",SUM(B151:E151))</f>
        <v/>
      </c>
      <c r="G151" s="26" t="str">
        <f aca="false">IF(A151="","",B151*Premissas!$C$4+C151*Premissas!$C$7+D151*Premissas!$C$6+E151*Premissas!$C$5)</f>
        <v/>
      </c>
      <c r="H151" s="27" t="str">
        <f aca="false">IF(A151="","",DATE(YEAR(A151),MONTH(A151),1))</f>
        <v/>
      </c>
    </row>
    <row r="152" customFormat="false" ht="14.25" hidden="false" customHeight="true" outlineLevel="0" collapsed="false">
      <c r="A152" s="23"/>
      <c r="B152" s="24"/>
      <c r="C152" s="24"/>
      <c r="D152" s="24"/>
      <c r="E152" s="24"/>
      <c r="F152" s="25" t="str">
        <f aca="false">IF(A152="","",SUM(B152:E152))</f>
        <v/>
      </c>
      <c r="G152" s="26" t="str">
        <f aca="false">IF(A152="","",B152*Premissas!$C$4+C152*Premissas!$C$7+D152*Premissas!$C$6+E152*Premissas!$C$5)</f>
        <v/>
      </c>
      <c r="H152" s="27" t="str">
        <f aca="false">IF(A152="","",DATE(YEAR(A152),MONTH(A152),1))</f>
        <v/>
      </c>
    </row>
    <row r="153" customFormat="false" ht="14.25" hidden="false" customHeight="true" outlineLevel="0" collapsed="false">
      <c r="A153" s="23"/>
      <c r="B153" s="24"/>
      <c r="C153" s="24"/>
      <c r="D153" s="24"/>
      <c r="E153" s="24"/>
      <c r="F153" s="25" t="str">
        <f aca="false">IF(A153="","",SUM(B153:E153))</f>
        <v/>
      </c>
      <c r="G153" s="26" t="str">
        <f aca="false">IF(A153="","",B153*Premissas!$C$4+C153*Premissas!$C$7+D153*Premissas!$C$6+E153*Premissas!$C$5)</f>
        <v/>
      </c>
      <c r="H153" s="27" t="str">
        <f aca="false">IF(A153="","",DATE(YEAR(A153),MONTH(A153),1))</f>
        <v/>
      </c>
    </row>
    <row r="154" customFormat="false" ht="14.25" hidden="false" customHeight="true" outlineLevel="0" collapsed="false">
      <c r="A154" s="23"/>
      <c r="B154" s="24"/>
      <c r="C154" s="24"/>
      <c r="D154" s="24"/>
      <c r="E154" s="24"/>
      <c r="F154" s="25" t="str">
        <f aca="false">IF(A154="","",SUM(B154:E154))</f>
        <v/>
      </c>
      <c r="G154" s="26" t="str">
        <f aca="false">IF(A154="","",B154*Premissas!$C$4+C154*Premissas!$C$7+D154*Premissas!$C$6+E154*Premissas!$C$5)</f>
        <v/>
      </c>
      <c r="H154" s="27" t="str">
        <f aca="false">IF(A154="","",DATE(YEAR(A154),MONTH(A154),1))</f>
        <v/>
      </c>
    </row>
    <row r="155" customFormat="false" ht="14.25" hidden="false" customHeight="true" outlineLevel="0" collapsed="false">
      <c r="A155" s="23"/>
      <c r="B155" s="24"/>
      <c r="C155" s="24"/>
      <c r="D155" s="24"/>
      <c r="E155" s="24"/>
      <c r="F155" s="25" t="str">
        <f aca="false">IF(A155="","",SUM(B155:E155))</f>
        <v/>
      </c>
      <c r="G155" s="26" t="str">
        <f aca="false">IF(A155="","",B155*Premissas!$C$4+C155*Premissas!$C$7+D155*Premissas!$C$6+E155*Premissas!$C$5)</f>
        <v/>
      </c>
      <c r="H155" s="27" t="str">
        <f aca="false">IF(A155="","",DATE(YEAR(A155),MONTH(A155),1))</f>
        <v/>
      </c>
    </row>
    <row r="156" customFormat="false" ht="14.25" hidden="false" customHeight="true" outlineLevel="0" collapsed="false">
      <c r="A156" s="23"/>
      <c r="B156" s="24"/>
      <c r="C156" s="24"/>
      <c r="D156" s="24"/>
      <c r="E156" s="24"/>
      <c r="F156" s="25" t="str">
        <f aca="false">IF(A156="","",SUM(B156:E156))</f>
        <v/>
      </c>
      <c r="G156" s="26" t="str">
        <f aca="false">IF(A156="","",B156*Premissas!$C$4+C156*Premissas!$C$7+D156*Premissas!$C$6+E156*Premissas!$C$5)</f>
        <v/>
      </c>
      <c r="H156" s="27" t="str">
        <f aca="false">IF(A156="","",DATE(YEAR(A156),MONTH(A156),1))</f>
        <v/>
      </c>
    </row>
    <row r="157" customFormat="false" ht="14.25" hidden="false" customHeight="true" outlineLevel="0" collapsed="false">
      <c r="A157" s="23"/>
      <c r="B157" s="24"/>
      <c r="C157" s="24"/>
      <c r="D157" s="24"/>
      <c r="E157" s="24"/>
      <c r="F157" s="25" t="str">
        <f aca="false">IF(A157="","",SUM(B157:E157))</f>
        <v/>
      </c>
      <c r="G157" s="26" t="str">
        <f aca="false">IF(A157="","",B157*Premissas!$C$4+C157*Premissas!$C$7+D157*Premissas!$C$6+E157*Premissas!$C$5)</f>
        <v/>
      </c>
      <c r="H157" s="27" t="str">
        <f aca="false">IF(A157="","",DATE(YEAR(A157),MONTH(A157),1))</f>
        <v/>
      </c>
    </row>
    <row r="158" customFormat="false" ht="14.25" hidden="false" customHeight="true" outlineLevel="0" collapsed="false">
      <c r="A158" s="23"/>
      <c r="B158" s="24"/>
      <c r="C158" s="24"/>
      <c r="D158" s="24"/>
      <c r="E158" s="24"/>
      <c r="F158" s="25" t="str">
        <f aca="false">IF(A158="","",SUM(B158:E158))</f>
        <v/>
      </c>
      <c r="G158" s="26" t="str">
        <f aca="false">IF(A158="","",B158*Premissas!$C$4+C158*Premissas!$C$7+D158*Premissas!$C$6+E158*Premissas!$C$5)</f>
        <v/>
      </c>
      <c r="H158" s="27" t="str">
        <f aca="false">IF(A158="","",DATE(YEAR(A158),MONTH(A158),1))</f>
        <v/>
      </c>
    </row>
    <row r="159" customFormat="false" ht="14.25" hidden="false" customHeight="true" outlineLevel="0" collapsed="false">
      <c r="A159" s="23"/>
      <c r="B159" s="24"/>
      <c r="C159" s="24"/>
      <c r="D159" s="24"/>
      <c r="E159" s="24"/>
      <c r="F159" s="25" t="str">
        <f aca="false">IF(A159="","",SUM(B159:E159))</f>
        <v/>
      </c>
      <c r="G159" s="26" t="str">
        <f aca="false">IF(A159="","",B159*Premissas!$C$4+C159*Premissas!$C$7+D159*Premissas!$C$6+E159*Premissas!$C$5)</f>
        <v/>
      </c>
      <c r="H159" s="27" t="str">
        <f aca="false">IF(A159="","",DATE(YEAR(A159),MONTH(A159),1))</f>
        <v/>
      </c>
    </row>
    <row r="160" customFormat="false" ht="14.25" hidden="false" customHeight="true" outlineLevel="0" collapsed="false">
      <c r="A160" s="23"/>
      <c r="B160" s="24"/>
      <c r="C160" s="24"/>
      <c r="D160" s="24"/>
      <c r="E160" s="24"/>
      <c r="F160" s="25" t="str">
        <f aca="false">IF(A160="","",SUM(B160:E160))</f>
        <v/>
      </c>
      <c r="G160" s="26" t="str">
        <f aca="false">IF(A160="","",B160*Premissas!$C$4+C160*Premissas!$C$7+D160*Premissas!$C$6+E160*Premissas!$C$5)</f>
        <v/>
      </c>
      <c r="H160" s="27" t="str">
        <f aca="false">IF(A160="","",DATE(YEAR(A160),MONTH(A160),1))</f>
        <v/>
      </c>
    </row>
    <row r="161" customFormat="false" ht="14.25" hidden="false" customHeight="true" outlineLevel="0" collapsed="false">
      <c r="A161" s="23"/>
      <c r="B161" s="24"/>
      <c r="C161" s="24"/>
      <c r="D161" s="24"/>
      <c r="E161" s="24"/>
      <c r="F161" s="25" t="str">
        <f aca="false">IF(A161="","",SUM(B161:E161))</f>
        <v/>
      </c>
      <c r="G161" s="26" t="str">
        <f aca="false">IF(A161="","",B161*Premissas!$C$4+C161*Premissas!$C$7+D161*Premissas!$C$6+E161*Premissas!$C$5)</f>
        <v/>
      </c>
      <c r="H161" s="27" t="str">
        <f aca="false">IF(A161="","",DATE(YEAR(A161),MONTH(A161),1))</f>
        <v/>
      </c>
    </row>
    <row r="162" customFormat="false" ht="14.25" hidden="false" customHeight="true" outlineLevel="0" collapsed="false">
      <c r="A162" s="23"/>
      <c r="B162" s="24"/>
      <c r="C162" s="24"/>
      <c r="D162" s="24"/>
      <c r="E162" s="24"/>
      <c r="F162" s="25" t="str">
        <f aca="false">IF(A162="","",SUM(B162:E162))</f>
        <v/>
      </c>
      <c r="G162" s="26" t="str">
        <f aca="false">IF(A162="","",B162*Premissas!$C$4+C162*Premissas!$C$7+D162*Premissas!$C$6+E162*Premissas!$C$5)</f>
        <v/>
      </c>
      <c r="H162" s="27" t="str">
        <f aca="false">IF(A162="","",DATE(YEAR(A162),MONTH(A162),1))</f>
        <v/>
      </c>
    </row>
    <row r="163" customFormat="false" ht="14.25" hidden="false" customHeight="true" outlineLevel="0" collapsed="false">
      <c r="A163" s="23"/>
      <c r="B163" s="24"/>
      <c r="C163" s="24"/>
      <c r="D163" s="24"/>
      <c r="E163" s="24"/>
      <c r="F163" s="25" t="str">
        <f aca="false">IF(A163="","",SUM(B163:E163))</f>
        <v/>
      </c>
      <c r="G163" s="26" t="str">
        <f aca="false">IF(A163="","",B163*Premissas!$C$4+C163*Premissas!$C$7+D163*Premissas!$C$6+E163*Premissas!$C$5)</f>
        <v/>
      </c>
      <c r="H163" s="27" t="str">
        <f aca="false">IF(A163="","",DATE(YEAR(A163),MONTH(A163),1))</f>
        <v/>
      </c>
    </row>
    <row r="164" customFormat="false" ht="14.25" hidden="false" customHeight="true" outlineLevel="0" collapsed="false">
      <c r="A164" s="23"/>
      <c r="B164" s="24"/>
      <c r="C164" s="24"/>
      <c r="D164" s="24"/>
      <c r="E164" s="24"/>
      <c r="F164" s="25" t="str">
        <f aca="false">IF(A164="","",SUM(B164:E164))</f>
        <v/>
      </c>
      <c r="G164" s="26" t="str">
        <f aca="false">IF(A164="","",B164*Premissas!$C$4+C164*Premissas!$C$7+D164*Premissas!$C$6+E164*Premissas!$C$5)</f>
        <v/>
      </c>
      <c r="H164" s="27" t="str">
        <f aca="false">IF(A164="","",DATE(YEAR(A164),MONTH(A164),1))</f>
        <v/>
      </c>
    </row>
    <row r="165" customFormat="false" ht="14.25" hidden="false" customHeight="true" outlineLevel="0" collapsed="false">
      <c r="A165" s="23"/>
      <c r="B165" s="24"/>
      <c r="C165" s="24"/>
      <c r="D165" s="24"/>
      <c r="E165" s="24"/>
      <c r="F165" s="25" t="str">
        <f aca="false">IF(A165="","",SUM(B165:E165))</f>
        <v/>
      </c>
      <c r="G165" s="26" t="str">
        <f aca="false">IF(A165="","",B165*Premissas!$C$4+C165*Premissas!$C$7+D165*Premissas!$C$6+E165*Premissas!$C$5)</f>
        <v/>
      </c>
      <c r="H165" s="27" t="str">
        <f aca="false">IF(A165="","",DATE(YEAR(A165),MONTH(A165),1))</f>
        <v/>
      </c>
    </row>
    <row r="166" customFormat="false" ht="14.25" hidden="false" customHeight="true" outlineLevel="0" collapsed="false">
      <c r="A166" s="23"/>
      <c r="B166" s="24"/>
      <c r="C166" s="24"/>
      <c r="D166" s="24"/>
      <c r="E166" s="24"/>
      <c r="F166" s="25" t="str">
        <f aca="false">IF(A166="","",SUM(B166:E166))</f>
        <v/>
      </c>
      <c r="G166" s="26" t="str">
        <f aca="false">IF(A166="","",B166*Premissas!$C$4+C166*Premissas!$C$7+D166*Premissas!$C$6+E166*Premissas!$C$5)</f>
        <v/>
      </c>
      <c r="H166" s="27" t="str">
        <f aca="false">IF(A166="","",DATE(YEAR(A166),MONTH(A166),1))</f>
        <v/>
      </c>
    </row>
    <row r="167" customFormat="false" ht="14.25" hidden="false" customHeight="true" outlineLevel="0" collapsed="false">
      <c r="A167" s="23"/>
      <c r="B167" s="24"/>
      <c r="C167" s="24"/>
      <c r="D167" s="24"/>
      <c r="E167" s="24"/>
      <c r="F167" s="25" t="str">
        <f aca="false">IF(A167="","",SUM(B167:E167))</f>
        <v/>
      </c>
      <c r="G167" s="26" t="str">
        <f aca="false">IF(A167="","",B167*Premissas!$C$4+C167*Premissas!$C$7+D167*Premissas!$C$6+E167*Premissas!$C$5)</f>
        <v/>
      </c>
      <c r="H167" s="27" t="str">
        <f aca="false">IF(A167="","",DATE(YEAR(A167),MONTH(A167),1))</f>
        <v/>
      </c>
    </row>
    <row r="168" customFormat="false" ht="14.25" hidden="false" customHeight="true" outlineLevel="0" collapsed="false">
      <c r="A168" s="23"/>
      <c r="B168" s="24"/>
      <c r="C168" s="24"/>
      <c r="D168" s="24"/>
      <c r="E168" s="24"/>
      <c r="F168" s="25" t="str">
        <f aca="false">IF(A168="","",SUM(B168:E168))</f>
        <v/>
      </c>
      <c r="G168" s="26" t="str">
        <f aca="false">IF(A168="","",B168*Premissas!$C$4+C168*Premissas!$C$7+D168*Premissas!$C$6+E168*Premissas!$C$5)</f>
        <v/>
      </c>
      <c r="H168" s="27" t="str">
        <f aca="false">IF(A168="","",DATE(YEAR(A168),MONTH(A168),1))</f>
        <v/>
      </c>
    </row>
    <row r="169" customFormat="false" ht="14.25" hidden="false" customHeight="true" outlineLevel="0" collapsed="false">
      <c r="A169" s="23"/>
      <c r="B169" s="24"/>
      <c r="C169" s="24"/>
      <c r="D169" s="24"/>
      <c r="E169" s="24"/>
      <c r="F169" s="25" t="str">
        <f aca="false">IF(A169="","",SUM(B169:E169))</f>
        <v/>
      </c>
      <c r="G169" s="26" t="str">
        <f aca="false">IF(A169="","",B169*Premissas!$C$4+C169*Premissas!$C$7+D169*Premissas!$C$6+E169*Premissas!$C$5)</f>
        <v/>
      </c>
      <c r="H169" s="27" t="str">
        <f aca="false">IF(A169="","",DATE(YEAR(A169),MONTH(A169),1))</f>
        <v/>
      </c>
    </row>
    <row r="170" customFormat="false" ht="14.25" hidden="false" customHeight="true" outlineLevel="0" collapsed="false">
      <c r="A170" s="23"/>
      <c r="B170" s="24"/>
      <c r="C170" s="24"/>
      <c r="D170" s="24"/>
      <c r="E170" s="24"/>
      <c r="F170" s="25" t="str">
        <f aca="false">IF(A170="","",SUM(B170:E170))</f>
        <v/>
      </c>
      <c r="G170" s="26" t="str">
        <f aca="false">IF(A170="","",B170*Premissas!$C$4+C170*Premissas!$C$7+D170*Premissas!$C$6+E170*Premissas!$C$5)</f>
        <v/>
      </c>
      <c r="H170" s="27" t="str">
        <f aca="false">IF(A170="","",DATE(YEAR(A170),MONTH(A170),1))</f>
        <v/>
      </c>
    </row>
    <row r="171" customFormat="false" ht="14.25" hidden="false" customHeight="true" outlineLevel="0" collapsed="false">
      <c r="A171" s="23"/>
      <c r="B171" s="24"/>
      <c r="C171" s="24"/>
      <c r="D171" s="24"/>
      <c r="E171" s="24"/>
      <c r="F171" s="25" t="str">
        <f aca="false">IF(A171="","",SUM(B171:E171))</f>
        <v/>
      </c>
      <c r="G171" s="26" t="str">
        <f aca="false">IF(A171="","",B171*Premissas!$C$4+C171*Premissas!$C$7+D171*Premissas!$C$6+E171*Premissas!$C$5)</f>
        <v/>
      </c>
      <c r="H171" s="27" t="str">
        <f aca="false">IF(A171="","",DATE(YEAR(A171),MONTH(A171),1))</f>
        <v/>
      </c>
    </row>
    <row r="172" customFormat="false" ht="14.25" hidden="false" customHeight="true" outlineLevel="0" collapsed="false">
      <c r="A172" s="23"/>
      <c r="B172" s="24"/>
      <c r="C172" s="24"/>
      <c r="D172" s="24"/>
      <c r="E172" s="24"/>
      <c r="F172" s="25" t="str">
        <f aca="false">IF(A172="","",SUM(B172:E172))</f>
        <v/>
      </c>
      <c r="G172" s="26" t="str">
        <f aca="false">IF(A172="","",B172*Premissas!$C$4+C172*Premissas!$C$7+D172*Premissas!$C$6+E172*Premissas!$C$5)</f>
        <v/>
      </c>
      <c r="H172" s="27" t="str">
        <f aca="false">IF(A172="","",DATE(YEAR(A172),MONTH(A172),1))</f>
        <v/>
      </c>
    </row>
    <row r="173" customFormat="false" ht="14.25" hidden="false" customHeight="true" outlineLevel="0" collapsed="false">
      <c r="A173" s="23"/>
      <c r="B173" s="24"/>
      <c r="C173" s="24"/>
      <c r="D173" s="24"/>
      <c r="E173" s="24"/>
      <c r="F173" s="25" t="str">
        <f aca="false">IF(A173="","",SUM(B173:E173))</f>
        <v/>
      </c>
      <c r="G173" s="26" t="str">
        <f aca="false">IF(A173="","",B173*Premissas!$C$4+C173*Premissas!$C$7+D173*Premissas!$C$6+E173*Premissas!$C$5)</f>
        <v/>
      </c>
      <c r="H173" s="27" t="str">
        <f aca="false">IF(A173="","",DATE(YEAR(A173),MONTH(A173),1))</f>
        <v/>
      </c>
    </row>
    <row r="174" customFormat="false" ht="14.25" hidden="false" customHeight="true" outlineLevel="0" collapsed="false">
      <c r="A174" s="23"/>
      <c r="B174" s="24"/>
      <c r="C174" s="24"/>
      <c r="D174" s="24"/>
      <c r="E174" s="24"/>
      <c r="F174" s="25" t="str">
        <f aca="false">IF(A174="","",SUM(B174:E174))</f>
        <v/>
      </c>
      <c r="G174" s="26" t="str">
        <f aca="false">IF(A174="","",B174*Premissas!$C$4+C174*Premissas!$C$7+D174*Premissas!$C$6+E174*Premissas!$C$5)</f>
        <v/>
      </c>
      <c r="H174" s="27" t="str">
        <f aca="false">IF(A174="","",DATE(YEAR(A174),MONTH(A174),1))</f>
        <v/>
      </c>
    </row>
    <row r="175" customFormat="false" ht="14.25" hidden="false" customHeight="true" outlineLevel="0" collapsed="false">
      <c r="A175" s="23"/>
      <c r="B175" s="24"/>
      <c r="C175" s="24"/>
      <c r="D175" s="24"/>
      <c r="E175" s="24"/>
      <c r="F175" s="25" t="str">
        <f aca="false">IF(A175="","",SUM(B175:E175))</f>
        <v/>
      </c>
      <c r="G175" s="26" t="str">
        <f aca="false">IF(A175="","",B175*Premissas!$C$4+C175*Premissas!$C$7+D175*Premissas!$C$6+E175*Premissas!$C$5)</f>
        <v/>
      </c>
      <c r="H175" s="27" t="str">
        <f aca="false">IF(A175="","",DATE(YEAR(A175),MONTH(A175),1))</f>
        <v/>
      </c>
    </row>
    <row r="176" customFormat="false" ht="14.25" hidden="false" customHeight="true" outlineLevel="0" collapsed="false">
      <c r="A176" s="23"/>
      <c r="B176" s="24"/>
      <c r="C176" s="24"/>
      <c r="D176" s="24"/>
      <c r="E176" s="24"/>
      <c r="F176" s="25" t="str">
        <f aca="false">IF(A176="","",SUM(B176:E176))</f>
        <v/>
      </c>
      <c r="G176" s="26" t="str">
        <f aca="false">IF(A176="","",B176*Premissas!$C$4+C176*Premissas!$C$7+D176*Premissas!$C$6+E176*Premissas!$C$5)</f>
        <v/>
      </c>
      <c r="H176" s="27" t="str">
        <f aca="false">IF(A176="","",DATE(YEAR(A176),MONTH(A176),1))</f>
        <v/>
      </c>
    </row>
    <row r="177" customFormat="false" ht="14.25" hidden="false" customHeight="true" outlineLevel="0" collapsed="false">
      <c r="A177" s="23"/>
      <c r="B177" s="24"/>
      <c r="C177" s="24"/>
      <c r="D177" s="24"/>
      <c r="E177" s="24"/>
      <c r="F177" s="25" t="str">
        <f aca="false">IF(A177="","",SUM(B177:E177))</f>
        <v/>
      </c>
      <c r="G177" s="26" t="str">
        <f aca="false">IF(A177="","",B177*Premissas!$C$4+C177*Premissas!$C$7+D177*Premissas!$C$6+E177*Premissas!$C$5)</f>
        <v/>
      </c>
      <c r="H177" s="27" t="str">
        <f aca="false">IF(A177="","",DATE(YEAR(A177),MONTH(A177),1))</f>
        <v/>
      </c>
    </row>
    <row r="178" customFormat="false" ht="14.25" hidden="false" customHeight="true" outlineLevel="0" collapsed="false">
      <c r="A178" s="23"/>
      <c r="B178" s="24"/>
      <c r="C178" s="24"/>
      <c r="D178" s="24"/>
      <c r="E178" s="24"/>
      <c r="F178" s="25" t="str">
        <f aca="false">IF(A178="","",SUM(B178:E178))</f>
        <v/>
      </c>
      <c r="G178" s="26" t="str">
        <f aca="false">IF(A178="","",B178*Premissas!$C$4+C178*Premissas!$C$7+D178*Premissas!$C$6+E178*Premissas!$C$5)</f>
        <v/>
      </c>
      <c r="H178" s="27" t="str">
        <f aca="false">IF(A178="","",DATE(YEAR(A178),MONTH(A178),1))</f>
        <v/>
      </c>
    </row>
    <row r="179" customFormat="false" ht="14.25" hidden="false" customHeight="true" outlineLevel="0" collapsed="false">
      <c r="A179" s="23"/>
      <c r="B179" s="24"/>
      <c r="C179" s="24"/>
      <c r="D179" s="24"/>
      <c r="E179" s="24"/>
      <c r="F179" s="25" t="str">
        <f aca="false">IF(A179="","",SUM(B179:E179))</f>
        <v/>
      </c>
      <c r="G179" s="26" t="str">
        <f aca="false">IF(A179="","",B179*Premissas!$C$4+C179*Premissas!$C$7+D179*Premissas!$C$6+E179*Premissas!$C$5)</f>
        <v/>
      </c>
      <c r="H179" s="27" t="str">
        <f aca="false">IF(A179="","",DATE(YEAR(A179),MONTH(A179),1))</f>
        <v/>
      </c>
    </row>
    <row r="180" customFormat="false" ht="14.25" hidden="false" customHeight="true" outlineLevel="0" collapsed="false">
      <c r="A180" s="23"/>
      <c r="B180" s="24"/>
      <c r="C180" s="24"/>
      <c r="D180" s="24"/>
      <c r="E180" s="24"/>
      <c r="F180" s="25" t="str">
        <f aca="false">IF(A180="","",SUM(B180:E180))</f>
        <v/>
      </c>
      <c r="G180" s="26" t="str">
        <f aca="false">IF(A180="","",B180*Premissas!$C$4+C180*Premissas!$C$7+D180*Premissas!$C$6+E180*Premissas!$C$5)</f>
        <v/>
      </c>
      <c r="H180" s="27" t="str">
        <f aca="false">IF(A180="","",DATE(YEAR(A180),MONTH(A180),1))</f>
        <v/>
      </c>
    </row>
    <row r="181" customFormat="false" ht="14.25" hidden="false" customHeight="true" outlineLevel="0" collapsed="false">
      <c r="A181" s="23"/>
      <c r="B181" s="24"/>
      <c r="C181" s="24"/>
      <c r="D181" s="24"/>
      <c r="E181" s="24"/>
      <c r="F181" s="25" t="str">
        <f aca="false">IF(A181="","",SUM(B181:E181))</f>
        <v/>
      </c>
      <c r="G181" s="26" t="str">
        <f aca="false">IF(A181="","",B181*Premissas!$C$4+C181*Premissas!$C$7+D181*Premissas!$C$6+E181*Premissas!$C$5)</f>
        <v/>
      </c>
      <c r="H181" s="27" t="str">
        <f aca="false">IF(A181="","",DATE(YEAR(A181),MONTH(A181),1))</f>
        <v/>
      </c>
    </row>
    <row r="182" customFormat="false" ht="14.25" hidden="false" customHeight="true" outlineLevel="0" collapsed="false">
      <c r="A182" s="23"/>
      <c r="B182" s="24"/>
      <c r="C182" s="24"/>
      <c r="D182" s="24"/>
      <c r="E182" s="24"/>
      <c r="F182" s="25" t="str">
        <f aca="false">IF(A182="","",SUM(B182:E182))</f>
        <v/>
      </c>
      <c r="G182" s="26" t="str">
        <f aca="false">IF(A182="","",B182*Premissas!$C$4+C182*Premissas!$C$7+D182*Premissas!$C$6+E182*Premissas!$C$5)</f>
        <v/>
      </c>
      <c r="H182" s="27" t="str">
        <f aca="false">IF(A182="","",DATE(YEAR(A182),MONTH(A182),1))</f>
        <v/>
      </c>
    </row>
    <row r="183" customFormat="false" ht="14.25" hidden="false" customHeight="true" outlineLevel="0" collapsed="false">
      <c r="A183" s="23"/>
      <c r="B183" s="24"/>
      <c r="C183" s="24"/>
      <c r="D183" s="24"/>
      <c r="E183" s="24"/>
      <c r="F183" s="25" t="str">
        <f aca="false">IF(A183="","",SUM(B183:E183))</f>
        <v/>
      </c>
      <c r="G183" s="26" t="str">
        <f aca="false">IF(A183="","",B183*Premissas!$C$4+C183*Premissas!$C$7+D183*Premissas!$C$6+E183*Premissas!$C$5)</f>
        <v/>
      </c>
      <c r="H183" s="27" t="str">
        <f aca="false">IF(A183="","",DATE(YEAR(A183),MONTH(A183),1))</f>
        <v/>
      </c>
    </row>
    <row r="184" customFormat="false" ht="14.25" hidden="false" customHeight="true" outlineLevel="0" collapsed="false">
      <c r="A184" s="23"/>
      <c r="B184" s="24"/>
      <c r="C184" s="24"/>
      <c r="D184" s="24"/>
      <c r="E184" s="24"/>
      <c r="F184" s="25" t="str">
        <f aca="false">IF(A184="","",SUM(B184:E184))</f>
        <v/>
      </c>
      <c r="G184" s="26" t="str">
        <f aca="false">IF(A184="","",B184*Premissas!$C$4+C184*Premissas!$C$7+D184*Premissas!$C$6+E184*Premissas!$C$5)</f>
        <v/>
      </c>
      <c r="H184" s="27" t="str">
        <f aca="false">IF(A184="","",DATE(YEAR(A184),MONTH(A184),1))</f>
        <v/>
      </c>
    </row>
    <row r="185" customFormat="false" ht="14.25" hidden="false" customHeight="true" outlineLevel="0" collapsed="false">
      <c r="A185" s="23"/>
      <c r="B185" s="24"/>
      <c r="C185" s="24"/>
      <c r="D185" s="24"/>
      <c r="E185" s="24"/>
      <c r="F185" s="25" t="str">
        <f aca="false">IF(A185="","",SUM(B185:E185))</f>
        <v/>
      </c>
      <c r="G185" s="26" t="str">
        <f aca="false">IF(A185="","",B185*Premissas!$C$4+C185*Premissas!$C$7+D185*Premissas!$C$6+E185*Premissas!$C$5)</f>
        <v/>
      </c>
      <c r="H185" s="27" t="str">
        <f aca="false">IF(A185="","",DATE(YEAR(A185),MONTH(A185),1))</f>
        <v/>
      </c>
    </row>
    <row r="186" customFormat="false" ht="14.25" hidden="false" customHeight="true" outlineLevel="0" collapsed="false">
      <c r="A186" s="23"/>
      <c r="B186" s="24"/>
      <c r="C186" s="24"/>
      <c r="D186" s="24"/>
      <c r="E186" s="24"/>
      <c r="F186" s="25" t="str">
        <f aca="false">IF(A186="","",SUM(B186:E186))</f>
        <v/>
      </c>
      <c r="G186" s="26" t="str">
        <f aca="false">IF(A186="","",B186*Premissas!$C$4+C186*Premissas!$C$7+D186*Premissas!$C$6+E186*Premissas!$C$5)</f>
        <v/>
      </c>
      <c r="H186" s="27" t="str">
        <f aca="false">IF(A186="","",DATE(YEAR(A186),MONTH(A186),1))</f>
        <v/>
      </c>
    </row>
    <row r="187" customFormat="false" ht="14.25" hidden="false" customHeight="true" outlineLevel="0" collapsed="false">
      <c r="A187" s="23"/>
      <c r="B187" s="24"/>
      <c r="C187" s="24"/>
      <c r="D187" s="24"/>
      <c r="E187" s="24"/>
      <c r="F187" s="25" t="str">
        <f aca="false">IF(A187="","",SUM(B187:E187))</f>
        <v/>
      </c>
      <c r="G187" s="26" t="str">
        <f aca="false">IF(A187="","",B187*Premissas!$C$4+C187*Premissas!$C$7+D187*Premissas!$C$6+E187*Premissas!$C$5)</f>
        <v/>
      </c>
      <c r="H187" s="27" t="str">
        <f aca="false">IF(A187="","",DATE(YEAR(A187),MONTH(A187),1))</f>
        <v/>
      </c>
    </row>
    <row r="188" customFormat="false" ht="14.25" hidden="false" customHeight="true" outlineLevel="0" collapsed="false">
      <c r="A188" s="23"/>
      <c r="B188" s="24"/>
      <c r="C188" s="24"/>
      <c r="D188" s="24"/>
      <c r="E188" s="24"/>
      <c r="F188" s="25" t="str">
        <f aca="false">IF(A188="","",SUM(B188:E188))</f>
        <v/>
      </c>
      <c r="G188" s="26" t="str">
        <f aca="false">IF(A188="","",B188*Premissas!$C$4+C188*Premissas!$C$7+D188*Premissas!$C$6+E188*Premissas!$C$5)</f>
        <v/>
      </c>
      <c r="H188" s="27" t="str">
        <f aca="false">IF(A188="","",DATE(YEAR(A188),MONTH(A188),1))</f>
        <v/>
      </c>
    </row>
    <row r="189" customFormat="false" ht="14.25" hidden="false" customHeight="true" outlineLevel="0" collapsed="false">
      <c r="A189" s="23"/>
      <c r="B189" s="24"/>
      <c r="C189" s="24"/>
      <c r="D189" s="24"/>
      <c r="E189" s="24"/>
      <c r="F189" s="25" t="str">
        <f aca="false">IF(A189="","",SUM(B189:E189))</f>
        <v/>
      </c>
      <c r="G189" s="26" t="str">
        <f aca="false">IF(A189="","",B189*Premissas!$C$4+C189*Premissas!$C$7+D189*Premissas!$C$6+E189*Premissas!$C$5)</f>
        <v/>
      </c>
      <c r="H189" s="27" t="str">
        <f aca="false">IF(A189="","",DATE(YEAR(A189),MONTH(A189),1))</f>
        <v/>
      </c>
    </row>
    <row r="190" customFormat="false" ht="14.25" hidden="false" customHeight="true" outlineLevel="0" collapsed="false">
      <c r="A190" s="23"/>
      <c r="B190" s="24"/>
      <c r="C190" s="24"/>
      <c r="D190" s="24"/>
      <c r="E190" s="24"/>
      <c r="F190" s="25" t="str">
        <f aca="false">IF(A190="","",SUM(B190:E190))</f>
        <v/>
      </c>
      <c r="G190" s="26" t="str">
        <f aca="false">IF(A190="","",B190*Premissas!$C$4+C190*Premissas!$C$7+D190*Premissas!$C$6+E190*Premissas!$C$5)</f>
        <v/>
      </c>
      <c r="H190" s="27" t="str">
        <f aca="false">IF(A190="","",DATE(YEAR(A190),MONTH(A190),1))</f>
        <v/>
      </c>
    </row>
    <row r="191" customFormat="false" ht="14.25" hidden="false" customHeight="true" outlineLevel="0" collapsed="false">
      <c r="A191" s="23"/>
      <c r="B191" s="24"/>
      <c r="C191" s="24"/>
      <c r="D191" s="24"/>
      <c r="E191" s="24"/>
      <c r="F191" s="25" t="str">
        <f aca="false">IF(A191="","",SUM(B191:E191))</f>
        <v/>
      </c>
      <c r="G191" s="26" t="str">
        <f aca="false">IF(A191="","",B191*Premissas!$C$4+C191*Premissas!$C$7+D191*Premissas!$C$6+E191*Premissas!$C$5)</f>
        <v/>
      </c>
      <c r="H191" s="27" t="str">
        <f aca="false">IF(A191="","",DATE(YEAR(A191),MONTH(A191),1))</f>
        <v/>
      </c>
    </row>
    <row r="192" customFormat="false" ht="14.25" hidden="false" customHeight="true" outlineLevel="0" collapsed="false">
      <c r="A192" s="23"/>
      <c r="B192" s="24"/>
      <c r="C192" s="24"/>
      <c r="D192" s="24"/>
      <c r="E192" s="24"/>
      <c r="F192" s="25" t="str">
        <f aca="false">IF(A192="","",SUM(B192:E192))</f>
        <v/>
      </c>
      <c r="G192" s="26" t="str">
        <f aca="false">IF(A192="","",B192*Premissas!$C$4+C192*Premissas!$C$7+D192*Premissas!$C$6+E192*Premissas!$C$5)</f>
        <v/>
      </c>
      <c r="H192" s="27" t="str">
        <f aca="false">IF(A192="","",DATE(YEAR(A192),MONTH(A192),1))</f>
        <v/>
      </c>
    </row>
    <row r="193" customFormat="false" ht="14.25" hidden="false" customHeight="true" outlineLevel="0" collapsed="false">
      <c r="A193" s="23"/>
      <c r="B193" s="24"/>
      <c r="C193" s="24"/>
      <c r="D193" s="24"/>
      <c r="E193" s="24"/>
      <c r="F193" s="25" t="str">
        <f aca="false">IF(A193="","",SUM(B193:E193))</f>
        <v/>
      </c>
      <c r="G193" s="26" t="str">
        <f aca="false">IF(A193="","",B193*Premissas!$C$4+C193*Premissas!$C$7+D193*Premissas!$C$6+E193*Premissas!$C$5)</f>
        <v/>
      </c>
      <c r="H193" s="27" t="str">
        <f aca="false">IF(A193="","",DATE(YEAR(A193),MONTH(A193),1))</f>
        <v/>
      </c>
    </row>
    <row r="194" customFormat="false" ht="14.25" hidden="false" customHeight="true" outlineLevel="0" collapsed="false">
      <c r="A194" s="23"/>
      <c r="B194" s="24"/>
      <c r="C194" s="24"/>
      <c r="D194" s="24"/>
      <c r="E194" s="24"/>
      <c r="F194" s="25" t="str">
        <f aca="false">IF(A194="","",SUM(B194:E194))</f>
        <v/>
      </c>
      <c r="G194" s="26" t="str">
        <f aca="false">IF(A194="","",B194*Premissas!$C$4+C194*Premissas!$C$7+D194*Premissas!$C$6+E194*Premissas!$C$5)</f>
        <v/>
      </c>
      <c r="H194" s="27" t="str">
        <f aca="false">IF(A194="","",DATE(YEAR(A194),MONTH(A194),1))</f>
        <v/>
      </c>
    </row>
    <row r="195" customFormat="false" ht="14.25" hidden="false" customHeight="true" outlineLevel="0" collapsed="false">
      <c r="A195" s="23"/>
      <c r="B195" s="24"/>
      <c r="C195" s="24"/>
      <c r="D195" s="24"/>
      <c r="E195" s="24"/>
      <c r="F195" s="25" t="str">
        <f aca="false">IF(A195="","",SUM(B195:E195))</f>
        <v/>
      </c>
      <c r="G195" s="26" t="str">
        <f aca="false">IF(A195="","",B195*Premissas!$C$4+C195*Premissas!$C$7+D195*Premissas!$C$6+E195*Premissas!$C$5)</f>
        <v/>
      </c>
      <c r="H195" s="27" t="str">
        <f aca="false">IF(A195="","",DATE(YEAR(A195),MONTH(A195),1))</f>
        <v/>
      </c>
    </row>
    <row r="196" customFormat="false" ht="14.25" hidden="false" customHeight="true" outlineLevel="0" collapsed="false">
      <c r="A196" s="23"/>
      <c r="B196" s="24"/>
      <c r="C196" s="24"/>
      <c r="D196" s="24"/>
      <c r="E196" s="24"/>
      <c r="F196" s="25" t="str">
        <f aca="false">IF(A196="","",SUM(B196:E196))</f>
        <v/>
      </c>
      <c r="G196" s="26" t="str">
        <f aca="false">IF(A196="","",B196*Premissas!$C$4+C196*Premissas!$C$7+D196*Premissas!$C$6+E196*Premissas!$C$5)</f>
        <v/>
      </c>
      <c r="H196" s="27" t="str">
        <f aca="false">IF(A196="","",DATE(YEAR(A196),MONTH(A196),1))</f>
        <v/>
      </c>
    </row>
    <row r="197" customFormat="false" ht="14.25" hidden="false" customHeight="true" outlineLevel="0" collapsed="false">
      <c r="A197" s="23"/>
      <c r="B197" s="24"/>
      <c r="C197" s="24"/>
      <c r="D197" s="24"/>
      <c r="E197" s="24"/>
      <c r="F197" s="25" t="str">
        <f aca="false">IF(A197="","",SUM(B197:E197))</f>
        <v/>
      </c>
      <c r="G197" s="26" t="str">
        <f aca="false">IF(A197="","",B197*Premissas!$C$4+C197*Premissas!$C$7+D197*Premissas!$C$6+E197*Premissas!$C$5)</f>
        <v/>
      </c>
      <c r="H197" s="27" t="str">
        <f aca="false">IF(A197="","",DATE(YEAR(A197),MONTH(A197),1))</f>
        <v/>
      </c>
    </row>
    <row r="198" customFormat="false" ht="14.25" hidden="false" customHeight="true" outlineLevel="0" collapsed="false">
      <c r="A198" s="23"/>
      <c r="B198" s="24"/>
      <c r="C198" s="24"/>
      <c r="D198" s="24"/>
      <c r="E198" s="24"/>
      <c r="F198" s="25" t="str">
        <f aca="false">IF(A198="","",SUM(B198:E198))</f>
        <v/>
      </c>
      <c r="G198" s="26" t="str">
        <f aca="false">IF(A198="","",B198*Premissas!$C$4+C198*Premissas!$C$7+D198*Premissas!$C$6+E198*Premissas!$C$5)</f>
        <v/>
      </c>
      <c r="H198" s="27" t="str">
        <f aca="false">IF(A198="","",DATE(YEAR(A198),MONTH(A198),1))</f>
        <v/>
      </c>
    </row>
    <row r="199" customFormat="false" ht="14.25" hidden="false" customHeight="true" outlineLevel="0" collapsed="false">
      <c r="A199" s="23"/>
      <c r="B199" s="24"/>
      <c r="C199" s="24"/>
      <c r="D199" s="24"/>
      <c r="E199" s="24"/>
      <c r="F199" s="25" t="str">
        <f aca="false">IF(A199="","",SUM(B199:E199))</f>
        <v/>
      </c>
      <c r="G199" s="26" t="str">
        <f aca="false">IF(A199="","",B199*Premissas!$C$4+C199*Premissas!$C$7+D199*Premissas!$C$6+E199*Premissas!$C$5)</f>
        <v/>
      </c>
      <c r="H199" s="27" t="str">
        <f aca="false">IF(A199="","",DATE(YEAR(A199),MONTH(A199),1))</f>
        <v/>
      </c>
    </row>
    <row r="200" customFormat="false" ht="14.25" hidden="false" customHeight="true" outlineLevel="0" collapsed="false">
      <c r="A200" s="23"/>
      <c r="B200" s="24"/>
      <c r="C200" s="24"/>
      <c r="D200" s="24"/>
      <c r="E200" s="24"/>
      <c r="F200" s="25" t="str">
        <f aca="false">IF(A200="","",SUM(B200:E200))</f>
        <v/>
      </c>
      <c r="G200" s="26" t="str">
        <f aca="false">IF(A200="","",B200*Premissas!$C$4+C200*Premissas!$C$7+D200*Premissas!$C$6+E200*Premissas!$C$5)</f>
        <v/>
      </c>
      <c r="H200" s="27" t="str">
        <f aca="false">IF(A200="","",DATE(YEAR(A200),MONTH(A200),1))</f>
        <v/>
      </c>
    </row>
    <row r="201" customFormat="false" ht="14.25" hidden="false" customHeight="true" outlineLevel="0" collapsed="false">
      <c r="A201" s="23"/>
      <c r="B201" s="24"/>
      <c r="C201" s="24"/>
      <c r="D201" s="24"/>
      <c r="E201" s="24"/>
      <c r="F201" s="25" t="str">
        <f aca="false">IF(A201="","",SUM(B201:E201))</f>
        <v/>
      </c>
      <c r="G201" s="26" t="str">
        <f aca="false">IF(A201="","",B201*Premissas!$C$4+C201*Premissas!$C$7+D201*Premissas!$C$6+E201*Premissas!$C$5)</f>
        <v/>
      </c>
      <c r="H201" s="27" t="str">
        <f aca="false">IF(A201="","",DATE(YEAR(A201),MONTH(A201),1))</f>
        <v/>
      </c>
    </row>
    <row r="202" customFormat="false" ht="14.25" hidden="false" customHeight="true" outlineLevel="0" collapsed="false">
      <c r="A202" s="23"/>
      <c r="B202" s="24"/>
      <c r="C202" s="24"/>
      <c r="D202" s="24"/>
      <c r="E202" s="24"/>
      <c r="F202" s="25" t="str">
        <f aca="false">IF(A202="","",SUM(B202:E202))</f>
        <v/>
      </c>
      <c r="G202" s="26" t="str">
        <f aca="false">IF(A202="","",B202*Premissas!$C$4+C202*Premissas!$C$7+D202*Premissas!$C$6+E202*Premissas!$C$5)</f>
        <v/>
      </c>
      <c r="H202" s="27" t="str">
        <f aca="false">IF(A202="","",DATE(YEAR(A202),MONTH(A202),1))</f>
        <v/>
      </c>
    </row>
    <row r="203" customFormat="false" ht="14.25" hidden="false" customHeight="true" outlineLevel="0" collapsed="false">
      <c r="A203" s="23"/>
      <c r="B203" s="24"/>
      <c r="C203" s="24"/>
      <c r="D203" s="24"/>
      <c r="E203" s="24"/>
      <c r="F203" s="25" t="str">
        <f aca="false">IF(A203="","",SUM(B203:E203))</f>
        <v/>
      </c>
      <c r="G203" s="26" t="str">
        <f aca="false">IF(A203="","",B203*Premissas!$C$4+C203*Premissas!$C$7+D203*Premissas!$C$6+E203*Premissas!$C$5)</f>
        <v/>
      </c>
      <c r="H203" s="27" t="str">
        <f aca="false">IF(A203="","",DATE(YEAR(A203),MONTH(A203),1))</f>
        <v/>
      </c>
    </row>
    <row r="204" customFormat="false" ht="14.25" hidden="false" customHeight="true" outlineLevel="0" collapsed="false">
      <c r="A204" s="23"/>
      <c r="B204" s="24"/>
      <c r="C204" s="24"/>
      <c r="D204" s="24"/>
      <c r="E204" s="24"/>
      <c r="F204" s="25" t="str">
        <f aca="false">IF(A204="","",SUM(B204:E204))</f>
        <v/>
      </c>
      <c r="G204" s="26" t="str">
        <f aca="false">IF(A204="","",B204*Premissas!$C$4+C204*Premissas!$C$7+D204*Premissas!$C$6+E204*Premissas!$C$5)</f>
        <v/>
      </c>
      <c r="H204" s="27" t="str">
        <f aca="false">IF(A204="","",DATE(YEAR(A204),MONTH(A204),1))</f>
        <v/>
      </c>
    </row>
    <row r="205" customFormat="false" ht="14.25" hidden="false" customHeight="true" outlineLevel="0" collapsed="false">
      <c r="A205" s="23"/>
      <c r="B205" s="24"/>
      <c r="C205" s="24"/>
      <c r="D205" s="24"/>
      <c r="E205" s="24"/>
      <c r="F205" s="25" t="str">
        <f aca="false">IF(A205="","",SUM(B205:E205))</f>
        <v/>
      </c>
      <c r="G205" s="26" t="str">
        <f aca="false">IF(A205="","",B205*Premissas!$C$4+C205*Premissas!$C$7+D205*Premissas!$C$6+E205*Premissas!$C$5)</f>
        <v/>
      </c>
      <c r="H205" s="27" t="str">
        <f aca="false">IF(A205="","",DATE(YEAR(A205),MONTH(A205),1))</f>
        <v/>
      </c>
    </row>
    <row r="206" customFormat="false" ht="14.25" hidden="false" customHeight="true" outlineLevel="0" collapsed="false">
      <c r="A206" s="23"/>
      <c r="B206" s="24"/>
      <c r="C206" s="24"/>
      <c r="D206" s="24"/>
      <c r="E206" s="24"/>
      <c r="F206" s="25" t="str">
        <f aca="false">IF(A206="","",SUM(B206:E206))</f>
        <v/>
      </c>
      <c r="G206" s="26" t="str">
        <f aca="false">IF(A206="","",B206*Premissas!$C$4+C206*Premissas!$C$7+D206*Premissas!$C$6+E206*Premissas!$C$5)</f>
        <v/>
      </c>
      <c r="H206" s="27" t="str">
        <f aca="false">IF(A206="","",DATE(YEAR(A206),MONTH(A206),1))</f>
        <v/>
      </c>
    </row>
    <row r="207" customFormat="false" ht="14.25" hidden="false" customHeight="true" outlineLevel="0" collapsed="false">
      <c r="A207" s="23"/>
      <c r="B207" s="24"/>
      <c r="C207" s="24"/>
      <c r="D207" s="24"/>
      <c r="E207" s="24"/>
      <c r="F207" s="25" t="str">
        <f aca="false">IF(A207="","",SUM(B207:E207))</f>
        <v/>
      </c>
      <c r="G207" s="26" t="str">
        <f aca="false">IF(A207="","",B207*Premissas!$C$4+C207*Premissas!$C$7+D207*Premissas!$C$6+E207*Premissas!$C$5)</f>
        <v/>
      </c>
      <c r="H207" s="27" t="str">
        <f aca="false">IF(A207="","",DATE(YEAR(A207),MONTH(A207),1))</f>
        <v/>
      </c>
    </row>
    <row r="208" customFormat="false" ht="14.25" hidden="false" customHeight="true" outlineLevel="0" collapsed="false">
      <c r="A208" s="23"/>
      <c r="B208" s="24"/>
      <c r="C208" s="24"/>
      <c r="D208" s="24"/>
      <c r="E208" s="24"/>
      <c r="F208" s="25" t="str">
        <f aca="false">IF(A208="","",SUM(B208:E208))</f>
        <v/>
      </c>
      <c r="G208" s="26" t="str">
        <f aca="false">IF(A208="","",B208*Premissas!$C$4+C208*Premissas!$C$7+D208*Premissas!$C$6+E208*Premissas!$C$5)</f>
        <v/>
      </c>
      <c r="H208" s="27" t="str">
        <f aca="false">IF(A208="","",DATE(YEAR(A208),MONTH(A208),1))</f>
        <v/>
      </c>
    </row>
    <row r="209" customFormat="false" ht="14.25" hidden="false" customHeight="true" outlineLevel="0" collapsed="false">
      <c r="A209" s="23"/>
      <c r="B209" s="24"/>
      <c r="C209" s="24"/>
      <c r="D209" s="24"/>
      <c r="E209" s="24"/>
      <c r="F209" s="25" t="str">
        <f aca="false">IF(A209="","",SUM(B209:E209))</f>
        <v/>
      </c>
      <c r="G209" s="26" t="str">
        <f aca="false">IF(A209="","",B209*Premissas!$C$4+C209*Premissas!$C$7+D209*Premissas!$C$6+E209*Premissas!$C$5)</f>
        <v/>
      </c>
      <c r="H209" s="27" t="str">
        <f aca="false">IF(A209="","",DATE(YEAR(A209),MONTH(A209),1))</f>
        <v/>
      </c>
    </row>
    <row r="210" customFormat="false" ht="14.25" hidden="false" customHeight="true" outlineLevel="0" collapsed="false">
      <c r="A210" s="23"/>
      <c r="B210" s="24"/>
      <c r="C210" s="24"/>
      <c r="D210" s="24"/>
      <c r="E210" s="24"/>
      <c r="F210" s="25" t="str">
        <f aca="false">IF(A210="","",SUM(B210:E210))</f>
        <v/>
      </c>
      <c r="G210" s="26" t="str">
        <f aca="false">IF(A210="","",B210*Premissas!$C$4+C210*Premissas!$C$7+D210*Premissas!$C$6+E210*Premissas!$C$5)</f>
        <v/>
      </c>
      <c r="H210" s="27" t="str">
        <f aca="false">IF(A210="","",DATE(YEAR(A210),MONTH(A210),1))</f>
        <v/>
      </c>
    </row>
    <row r="211" customFormat="false" ht="14.25" hidden="false" customHeight="true" outlineLevel="0" collapsed="false">
      <c r="A211" s="23"/>
      <c r="B211" s="24"/>
      <c r="C211" s="24"/>
      <c r="D211" s="24"/>
      <c r="E211" s="24"/>
      <c r="F211" s="25" t="str">
        <f aca="false">IF(A211="","",SUM(B211:E211))</f>
        <v/>
      </c>
      <c r="G211" s="26" t="str">
        <f aca="false">IF(A211="","",B211*Premissas!$C$4+C211*Premissas!$C$7+D211*Premissas!$C$6+E211*Premissas!$C$5)</f>
        <v/>
      </c>
      <c r="H211" s="27" t="str">
        <f aca="false">IF(A211="","",DATE(YEAR(A211),MONTH(A211),1))</f>
        <v/>
      </c>
    </row>
    <row r="212" customFormat="false" ht="14.25" hidden="false" customHeight="true" outlineLevel="0" collapsed="false">
      <c r="A212" s="23"/>
      <c r="B212" s="24"/>
      <c r="C212" s="24"/>
      <c r="D212" s="24"/>
      <c r="E212" s="24"/>
      <c r="F212" s="25" t="str">
        <f aca="false">IF(A212="","",SUM(B212:E212))</f>
        <v/>
      </c>
      <c r="G212" s="26" t="str">
        <f aca="false">IF(A212="","",B212*Premissas!$C$4+C212*Premissas!$C$7+D212*Premissas!$C$6+E212*Premissas!$C$5)</f>
        <v/>
      </c>
      <c r="H212" s="27" t="str">
        <f aca="false">IF(A212="","",DATE(YEAR(A212),MONTH(A212),1))</f>
        <v/>
      </c>
    </row>
    <row r="213" customFormat="false" ht="14.25" hidden="false" customHeight="true" outlineLevel="0" collapsed="false">
      <c r="A213" s="23"/>
      <c r="B213" s="24"/>
      <c r="C213" s="24"/>
      <c r="D213" s="24"/>
      <c r="E213" s="24"/>
      <c r="F213" s="25" t="str">
        <f aca="false">IF(A213="","",SUM(B213:E213))</f>
        <v/>
      </c>
      <c r="G213" s="26" t="str">
        <f aca="false">IF(A213="","",B213*Premissas!$C$4+C213*Premissas!$C$7+D213*Premissas!$C$6+E213*Premissas!$C$5)</f>
        <v/>
      </c>
      <c r="H213" s="27" t="str">
        <f aca="false">IF(A213="","",DATE(YEAR(A213),MONTH(A213),1))</f>
        <v/>
      </c>
    </row>
    <row r="214" customFormat="false" ht="14.25" hidden="false" customHeight="true" outlineLevel="0" collapsed="false">
      <c r="A214" s="23"/>
      <c r="B214" s="24"/>
      <c r="C214" s="24"/>
      <c r="D214" s="24"/>
      <c r="E214" s="24"/>
      <c r="F214" s="25" t="str">
        <f aca="false">IF(A214="","",SUM(B214:E214))</f>
        <v/>
      </c>
      <c r="G214" s="26" t="str">
        <f aca="false">IF(A214="","",B214*Premissas!$C$4+C214*Premissas!$C$7+D214*Premissas!$C$6+E214*Premissas!$C$5)</f>
        <v/>
      </c>
      <c r="H214" s="27" t="str">
        <f aca="false">IF(A214="","",DATE(YEAR(A214),MONTH(A214),1))</f>
        <v/>
      </c>
    </row>
    <row r="215" customFormat="false" ht="14.25" hidden="false" customHeight="true" outlineLevel="0" collapsed="false">
      <c r="A215" s="23"/>
      <c r="B215" s="24"/>
      <c r="C215" s="24"/>
      <c r="D215" s="24"/>
      <c r="E215" s="24"/>
      <c r="F215" s="25" t="str">
        <f aca="false">IF(A215="","",SUM(B215:E215))</f>
        <v/>
      </c>
      <c r="G215" s="26" t="str">
        <f aca="false">IF(A215="","",B215*Premissas!$C$4+C215*Premissas!$C$7+D215*Premissas!$C$6+E215*Premissas!$C$5)</f>
        <v/>
      </c>
      <c r="H215" s="27" t="str">
        <f aca="false">IF(A215="","",DATE(YEAR(A215),MONTH(A215),1))</f>
        <v/>
      </c>
    </row>
    <row r="216" customFormat="false" ht="14.25" hidden="false" customHeight="true" outlineLevel="0" collapsed="false">
      <c r="A216" s="23"/>
      <c r="B216" s="24"/>
      <c r="C216" s="24"/>
      <c r="D216" s="24"/>
      <c r="E216" s="24"/>
      <c r="F216" s="25" t="str">
        <f aca="false">IF(A216="","",SUM(B216:E216))</f>
        <v/>
      </c>
      <c r="G216" s="26" t="str">
        <f aca="false">IF(A216="","",B216*Premissas!$C$4+C216*Premissas!$C$7+D216*Premissas!$C$6+E216*Premissas!$C$5)</f>
        <v/>
      </c>
      <c r="H216" s="27" t="str">
        <f aca="false">IF(A216="","",DATE(YEAR(A216),MONTH(A216),1))</f>
        <v/>
      </c>
    </row>
    <row r="217" customFormat="false" ht="14.25" hidden="false" customHeight="true" outlineLevel="0" collapsed="false">
      <c r="A217" s="23"/>
      <c r="B217" s="24"/>
      <c r="C217" s="24"/>
      <c r="D217" s="24"/>
      <c r="E217" s="24"/>
      <c r="F217" s="25" t="str">
        <f aca="false">IF(A217="","",SUM(B217:E217))</f>
        <v/>
      </c>
      <c r="G217" s="26" t="str">
        <f aca="false">IF(A217="","",B217*Premissas!$C$4+C217*Premissas!$C$7+D217*Premissas!$C$6+E217*Premissas!$C$5)</f>
        <v/>
      </c>
      <c r="H217" s="27" t="str">
        <f aca="false">IF(A217="","",DATE(YEAR(A217),MONTH(A217),1))</f>
        <v/>
      </c>
    </row>
    <row r="218" customFormat="false" ht="14.25" hidden="false" customHeight="true" outlineLevel="0" collapsed="false">
      <c r="A218" s="23"/>
      <c r="B218" s="24"/>
      <c r="C218" s="24"/>
      <c r="D218" s="24"/>
      <c r="E218" s="24"/>
      <c r="F218" s="25" t="str">
        <f aca="false">IF(A218="","",SUM(B218:E218))</f>
        <v/>
      </c>
      <c r="G218" s="26" t="str">
        <f aca="false">IF(A218="","",B218*Premissas!$C$4+C218*Premissas!$C$7+D218*Premissas!$C$6+E218*Premissas!$C$5)</f>
        <v/>
      </c>
      <c r="H218" s="27" t="str">
        <f aca="false">IF(A218="","",DATE(YEAR(A218),MONTH(A218),1))</f>
        <v/>
      </c>
    </row>
    <row r="219" customFormat="false" ht="14.25" hidden="false" customHeight="true" outlineLevel="0" collapsed="false">
      <c r="A219" s="23"/>
      <c r="B219" s="24"/>
      <c r="C219" s="24"/>
      <c r="D219" s="24"/>
      <c r="E219" s="24"/>
      <c r="F219" s="25" t="str">
        <f aca="false">IF(A219="","",SUM(B219:E219))</f>
        <v/>
      </c>
      <c r="G219" s="26" t="str">
        <f aca="false">IF(A219="","",B219*Premissas!$C$4+C219*Premissas!$C$7+D219*Premissas!$C$6+E219*Premissas!$C$5)</f>
        <v/>
      </c>
      <c r="H219" s="27" t="str">
        <f aca="false">IF(A219="","",DATE(YEAR(A219),MONTH(A219),1))</f>
        <v/>
      </c>
    </row>
    <row r="220" customFormat="false" ht="14.25" hidden="false" customHeight="true" outlineLevel="0" collapsed="false">
      <c r="A220" s="23"/>
      <c r="B220" s="24"/>
      <c r="C220" s="24"/>
      <c r="D220" s="24"/>
      <c r="E220" s="24"/>
      <c r="F220" s="25" t="str">
        <f aca="false">IF(A220="","",SUM(B220:E220))</f>
        <v/>
      </c>
      <c r="G220" s="26" t="str">
        <f aca="false">IF(A220="","",B220*Premissas!$C$4+C220*Premissas!$C$7+D220*Premissas!$C$6+E220*Premissas!$C$5)</f>
        <v/>
      </c>
      <c r="H220" s="27" t="str">
        <f aca="false">IF(A220="","",DATE(YEAR(A220),MONTH(A220),1))</f>
        <v/>
      </c>
    </row>
    <row r="221" customFormat="false" ht="14.25" hidden="false" customHeight="true" outlineLevel="0" collapsed="false">
      <c r="A221" s="23"/>
      <c r="B221" s="24"/>
      <c r="C221" s="24"/>
      <c r="D221" s="24"/>
      <c r="E221" s="24"/>
      <c r="F221" s="25" t="str">
        <f aca="false">IF(A221="","",SUM(B221:E221))</f>
        <v/>
      </c>
      <c r="G221" s="26" t="str">
        <f aca="false">IF(A221="","",B221*Premissas!$C$4+C221*Premissas!$C$7+D221*Premissas!$C$6+E221*Premissas!$C$5)</f>
        <v/>
      </c>
      <c r="H221" s="27" t="str">
        <f aca="false">IF(A221="","",DATE(YEAR(A221),MONTH(A221),1))</f>
        <v/>
      </c>
    </row>
    <row r="222" customFormat="false" ht="14.25" hidden="false" customHeight="true" outlineLevel="0" collapsed="false">
      <c r="A222" s="23"/>
      <c r="B222" s="24"/>
      <c r="C222" s="24"/>
      <c r="D222" s="24"/>
      <c r="E222" s="24"/>
      <c r="F222" s="25" t="str">
        <f aca="false">IF(A222="","",SUM(B222:E222))</f>
        <v/>
      </c>
      <c r="G222" s="26" t="str">
        <f aca="false">IF(A222="","",B222*Premissas!$C$4+C222*Premissas!$C$7+D222*Premissas!$C$6+E222*Premissas!$C$5)</f>
        <v/>
      </c>
      <c r="H222" s="27" t="str">
        <f aca="false">IF(A222="","",DATE(YEAR(A222),MONTH(A222),1))</f>
        <v/>
      </c>
    </row>
    <row r="223" customFormat="false" ht="14.25" hidden="false" customHeight="true" outlineLevel="0" collapsed="false">
      <c r="A223" s="23"/>
      <c r="B223" s="24"/>
      <c r="C223" s="24"/>
      <c r="D223" s="24"/>
      <c r="E223" s="24"/>
      <c r="F223" s="25" t="str">
        <f aca="false">IF(A223="","",SUM(B223:E223))</f>
        <v/>
      </c>
      <c r="G223" s="26" t="str">
        <f aca="false">IF(A223="","",B223*Premissas!$C$4+C223*Premissas!$C$7+D223*Premissas!$C$6+E223*Premissas!$C$5)</f>
        <v/>
      </c>
      <c r="H223" s="27" t="str">
        <f aca="false">IF(A223="","",DATE(YEAR(A223),MONTH(A223),1))</f>
        <v/>
      </c>
    </row>
    <row r="224" customFormat="false" ht="14.25" hidden="false" customHeight="true" outlineLevel="0" collapsed="false">
      <c r="A224" s="23"/>
      <c r="B224" s="24"/>
      <c r="C224" s="24"/>
      <c r="D224" s="24"/>
      <c r="E224" s="24"/>
      <c r="F224" s="25" t="str">
        <f aca="false">IF(A224="","",SUM(B224:E224))</f>
        <v/>
      </c>
      <c r="G224" s="26" t="str">
        <f aca="false">IF(A224="","",B224*Premissas!$C$4+C224*Premissas!$C$7+D224*Premissas!$C$6+E224*Premissas!$C$5)</f>
        <v/>
      </c>
      <c r="H224" s="27" t="str">
        <f aca="false">IF(A224="","",DATE(YEAR(A224),MONTH(A224),1))</f>
        <v/>
      </c>
    </row>
    <row r="225" customFormat="false" ht="14.25" hidden="false" customHeight="true" outlineLevel="0" collapsed="false">
      <c r="A225" s="23"/>
      <c r="B225" s="24"/>
      <c r="C225" s="24"/>
      <c r="D225" s="24"/>
      <c r="E225" s="24"/>
      <c r="F225" s="25" t="str">
        <f aca="false">IF(A225="","",SUM(B225:E225))</f>
        <v/>
      </c>
      <c r="G225" s="26" t="str">
        <f aca="false">IF(A225="","",B225*Premissas!$C$4+C225*Premissas!$C$7+D225*Premissas!$C$6+E225*Premissas!$C$5)</f>
        <v/>
      </c>
      <c r="H225" s="27" t="str">
        <f aca="false">IF(A225="","",DATE(YEAR(A225),MONTH(A225),1))</f>
        <v/>
      </c>
    </row>
    <row r="226" customFormat="false" ht="14.25" hidden="false" customHeight="true" outlineLevel="0" collapsed="false">
      <c r="A226" s="23"/>
      <c r="B226" s="24"/>
      <c r="C226" s="24"/>
      <c r="D226" s="24"/>
      <c r="E226" s="24"/>
      <c r="F226" s="25" t="str">
        <f aca="false">IF(A226="","",SUM(B226:E226))</f>
        <v/>
      </c>
      <c r="G226" s="26" t="str">
        <f aca="false">IF(A226="","",B226*Premissas!$C$4+C226*Premissas!$C$7+D226*Premissas!$C$6+E226*Premissas!$C$5)</f>
        <v/>
      </c>
      <c r="H226" s="27" t="str">
        <f aca="false">IF(A226="","",DATE(YEAR(A226),MONTH(A226),1))</f>
        <v/>
      </c>
    </row>
    <row r="227" customFormat="false" ht="14.25" hidden="false" customHeight="true" outlineLevel="0" collapsed="false">
      <c r="A227" s="23"/>
      <c r="B227" s="24"/>
      <c r="C227" s="24"/>
      <c r="D227" s="24"/>
      <c r="E227" s="24"/>
      <c r="F227" s="25" t="str">
        <f aca="false">IF(A227="","",SUM(B227:E227))</f>
        <v/>
      </c>
      <c r="G227" s="26" t="str">
        <f aca="false">IF(A227="","",B227*Premissas!$C$4+C227*Premissas!$C$7+D227*Premissas!$C$6+E227*Premissas!$C$5)</f>
        <v/>
      </c>
      <c r="H227" s="27" t="str">
        <f aca="false">IF(A227="","",DATE(YEAR(A227),MONTH(A227),1))</f>
        <v/>
      </c>
    </row>
    <row r="228" customFormat="false" ht="14.25" hidden="false" customHeight="true" outlineLevel="0" collapsed="false">
      <c r="A228" s="23"/>
      <c r="B228" s="24"/>
      <c r="C228" s="24"/>
      <c r="D228" s="24"/>
      <c r="E228" s="24"/>
      <c r="F228" s="25" t="str">
        <f aca="false">IF(A228="","",SUM(B228:E228))</f>
        <v/>
      </c>
      <c r="G228" s="26" t="str">
        <f aca="false">IF(A228="","",B228*Premissas!$C$4+C228*Premissas!$C$7+D228*Premissas!$C$6+E228*Premissas!$C$5)</f>
        <v/>
      </c>
      <c r="H228" s="27" t="str">
        <f aca="false">IF(A228="","",DATE(YEAR(A228),MONTH(A228),1))</f>
        <v/>
      </c>
    </row>
    <row r="229" customFormat="false" ht="14.25" hidden="false" customHeight="true" outlineLevel="0" collapsed="false">
      <c r="A229" s="23"/>
      <c r="B229" s="24"/>
      <c r="C229" s="24"/>
      <c r="D229" s="24"/>
      <c r="E229" s="24"/>
      <c r="F229" s="25" t="str">
        <f aca="false">IF(A229="","",SUM(B229:E229))</f>
        <v/>
      </c>
      <c r="G229" s="26" t="str">
        <f aca="false">IF(A229="","",B229*Premissas!$C$4+C229*Premissas!$C$7+D229*Premissas!$C$6+E229*Premissas!$C$5)</f>
        <v/>
      </c>
      <c r="H229" s="27" t="str">
        <f aca="false">IF(A229="","",DATE(YEAR(A229),MONTH(A229),1))</f>
        <v/>
      </c>
    </row>
    <row r="230" customFormat="false" ht="14.25" hidden="false" customHeight="true" outlineLevel="0" collapsed="false">
      <c r="A230" s="23"/>
      <c r="B230" s="24"/>
      <c r="C230" s="24"/>
      <c r="D230" s="24"/>
      <c r="E230" s="24"/>
      <c r="F230" s="25" t="str">
        <f aca="false">IF(A230="","",SUM(B230:E230))</f>
        <v/>
      </c>
      <c r="G230" s="26" t="str">
        <f aca="false">IF(A230="","",B230*Premissas!$C$4+C230*Premissas!$C$7+D230*Premissas!$C$6+E230*Premissas!$C$5)</f>
        <v/>
      </c>
      <c r="H230" s="27" t="str">
        <f aca="false">IF(A230="","",DATE(YEAR(A230),MONTH(A230),1))</f>
        <v/>
      </c>
    </row>
    <row r="231" customFormat="false" ht="14.25" hidden="false" customHeight="true" outlineLevel="0" collapsed="false">
      <c r="A231" s="23"/>
      <c r="B231" s="24"/>
      <c r="C231" s="24"/>
      <c r="D231" s="24"/>
      <c r="E231" s="24"/>
      <c r="F231" s="25" t="str">
        <f aca="false">IF(A231="","",SUM(B231:E231))</f>
        <v/>
      </c>
      <c r="G231" s="26" t="str">
        <f aca="false">IF(A231="","",B231*Premissas!$C$4+C231*Premissas!$C$7+D231*Premissas!$C$6+E231*Premissas!$C$5)</f>
        <v/>
      </c>
      <c r="H231" s="27" t="str">
        <f aca="false">IF(A231="","",DATE(YEAR(A231),MONTH(A231),1))</f>
        <v/>
      </c>
    </row>
    <row r="232" customFormat="false" ht="14.25" hidden="false" customHeight="true" outlineLevel="0" collapsed="false">
      <c r="A232" s="23"/>
      <c r="B232" s="24"/>
      <c r="C232" s="24"/>
      <c r="D232" s="24"/>
      <c r="E232" s="24"/>
      <c r="F232" s="25" t="str">
        <f aca="false">IF(A232="","",SUM(B232:E232))</f>
        <v/>
      </c>
      <c r="G232" s="26" t="str">
        <f aca="false">IF(A232="","",B232*Premissas!$C$4+C232*Premissas!$C$7+D232*Premissas!$C$6+E232*Premissas!$C$5)</f>
        <v/>
      </c>
      <c r="H232" s="27" t="str">
        <f aca="false">IF(A232="","",DATE(YEAR(A232),MONTH(A232),1))</f>
        <v/>
      </c>
    </row>
    <row r="233" customFormat="false" ht="14.25" hidden="false" customHeight="true" outlineLevel="0" collapsed="false">
      <c r="A233" s="23"/>
      <c r="B233" s="24"/>
      <c r="C233" s="24"/>
      <c r="D233" s="24"/>
      <c r="E233" s="24"/>
      <c r="F233" s="25" t="str">
        <f aca="false">IF(A233="","",SUM(B233:E233))</f>
        <v/>
      </c>
      <c r="G233" s="26" t="str">
        <f aca="false">IF(A233="","",B233*Premissas!$C$4+C233*Premissas!$C$7+D233*Premissas!$C$6+E233*Premissas!$C$5)</f>
        <v/>
      </c>
      <c r="H233" s="27" t="str">
        <f aca="false">IF(A233="","",DATE(YEAR(A233),MONTH(A233),1))</f>
        <v/>
      </c>
    </row>
    <row r="234" customFormat="false" ht="14.25" hidden="false" customHeight="true" outlineLevel="0" collapsed="false">
      <c r="A234" s="23"/>
      <c r="B234" s="24"/>
      <c r="C234" s="24"/>
      <c r="D234" s="24"/>
      <c r="E234" s="24"/>
      <c r="F234" s="25" t="str">
        <f aca="false">IF(A234="","",SUM(B234:E234))</f>
        <v/>
      </c>
      <c r="G234" s="26" t="str">
        <f aca="false">IF(A234="","",B234*Premissas!$C$4+C234*Premissas!$C$7+D234*Premissas!$C$6+E234*Premissas!$C$5)</f>
        <v/>
      </c>
      <c r="H234" s="27" t="str">
        <f aca="false">IF(A234="","",DATE(YEAR(A234),MONTH(A234),1))</f>
        <v/>
      </c>
    </row>
    <row r="235" customFormat="false" ht="14.25" hidden="false" customHeight="true" outlineLevel="0" collapsed="false">
      <c r="A235" s="23"/>
      <c r="B235" s="24"/>
      <c r="C235" s="24"/>
      <c r="D235" s="24"/>
      <c r="E235" s="24"/>
      <c r="F235" s="25" t="str">
        <f aca="false">IF(A235="","",SUM(B235:E235))</f>
        <v/>
      </c>
      <c r="G235" s="26" t="str">
        <f aca="false">IF(A235="","",B235*Premissas!$C$4+C235*Premissas!$C$7+D235*Premissas!$C$6+E235*Premissas!$C$5)</f>
        <v/>
      </c>
      <c r="H235" s="27" t="str">
        <f aca="false">IF(A235="","",DATE(YEAR(A235),MONTH(A235),1))</f>
        <v/>
      </c>
    </row>
    <row r="236" customFormat="false" ht="14.25" hidden="false" customHeight="true" outlineLevel="0" collapsed="false">
      <c r="A236" s="23"/>
      <c r="B236" s="24"/>
      <c r="C236" s="24"/>
      <c r="D236" s="24"/>
      <c r="E236" s="24"/>
      <c r="F236" s="25" t="str">
        <f aca="false">IF(A236="","",SUM(B236:E236))</f>
        <v/>
      </c>
      <c r="G236" s="26" t="str">
        <f aca="false">IF(A236="","",B236*Premissas!$C$4+C236*Premissas!$C$7+D236*Premissas!$C$6+E236*Premissas!$C$5)</f>
        <v/>
      </c>
      <c r="H236" s="27" t="str">
        <f aca="false">IF(A236="","",DATE(YEAR(A236),MONTH(A236),1))</f>
        <v/>
      </c>
    </row>
    <row r="237" customFormat="false" ht="14.25" hidden="false" customHeight="true" outlineLevel="0" collapsed="false">
      <c r="A237" s="23"/>
      <c r="B237" s="24"/>
      <c r="C237" s="24"/>
      <c r="D237" s="24"/>
      <c r="E237" s="24"/>
      <c r="F237" s="25" t="str">
        <f aca="false">IF(A237="","",SUM(B237:E237))</f>
        <v/>
      </c>
      <c r="G237" s="26" t="str">
        <f aca="false">IF(A237="","",B237*Premissas!$C$4+C237*Premissas!$C$7+D237*Premissas!$C$6+E237*Premissas!$C$5)</f>
        <v/>
      </c>
      <c r="H237" s="27" t="str">
        <f aca="false">IF(A237="","",DATE(YEAR(A237),MONTH(A237),1))</f>
        <v/>
      </c>
    </row>
    <row r="238" customFormat="false" ht="14.25" hidden="false" customHeight="true" outlineLevel="0" collapsed="false">
      <c r="A238" s="23"/>
      <c r="B238" s="24"/>
      <c r="C238" s="24"/>
      <c r="D238" s="24"/>
      <c r="E238" s="24"/>
      <c r="F238" s="25" t="str">
        <f aca="false">IF(A238="","",SUM(B238:E238))</f>
        <v/>
      </c>
      <c r="G238" s="26" t="str">
        <f aca="false">IF(A238="","",B238*Premissas!$C$4+C238*Premissas!$C$7+D238*Premissas!$C$6+E238*Premissas!$C$5)</f>
        <v/>
      </c>
      <c r="H238" s="27" t="str">
        <f aca="false">IF(A238="","",DATE(YEAR(A238),MONTH(A238),1))</f>
        <v/>
      </c>
    </row>
    <row r="239" customFormat="false" ht="14.25" hidden="false" customHeight="true" outlineLevel="0" collapsed="false">
      <c r="A239" s="23"/>
      <c r="B239" s="24"/>
      <c r="C239" s="24"/>
      <c r="D239" s="24"/>
      <c r="E239" s="24"/>
      <c r="F239" s="25" t="str">
        <f aca="false">IF(A239="","",SUM(B239:E239))</f>
        <v/>
      </c>
      <c r="G239" s="26" t="str">
        <f aca="false">IF(A239="","",B239*Premissas!$C$4+C239*Premissas!$C$7+D239*Premissas!$C$6+E239*Premissas!$C$5)</f>
        <v/>
      </c>
      <c r="H239" s="27" t="str">
        <f aca="false">IF(A239="","",DATE(YEAR(A239),MONTH(A239),1))</f>
        <v/>
      </c>
    </row>
    <row r="240" customFormat="false" ht="14.25" hidden="false" customHeight="true" outlineLevel="0" collapsed="false">
      <c r="A240" s="23"/>
      <c r="B240" s="24"/>
      <c r="C240" s="24"/>
      <c r="D240" s="24"/>
      <c r="E240" s="24"/>
      <c r="F240" s="25" t="str">
        <f aca="false">IF(A240="","",SUM(B240:E240))</f>
        <v/>
      </c>
      <c r="G240" s="26" t="str">
        <f aca="false">IF(A240="","",B240*Premissas!$C$4+C240*Premissas!$C$7+D240*Premissas!$C$6+E240*Premissas!$C$5)</f>
        <v/>
      </c>
      <c r="H240" s="27" t="str">
        <f aca="false">IF(A240="","",DATE(YEAR(A240),MONTH(A240),1))</f>
        <v/>
      </c>
    </row>
    <row r="241" customFormat="false" ht="14.25" hidden="false" customHeight="true" outlineLevel="0" collapsed="false">
      <c r="A241" s="23"/>
      <c r="B241" s="24"/>
      <c r="C241" s="24"/>
      <c r="D241" s="24"/>
      <c r="E241" s="24"/>
      <c r="F241" s="25" t="str">
        <f aca="false">IF(A241="","",SUM(B241:E241))</f>
        <v/>
      </c>
      <c r="G241" s="26" t="str">
        <f aca="false">IF(A241="","",B241*Premissas!$C$4+C241*Premissas!$C$7+D241*Premissas!$C$6+E241*Premissas!$C$5)</f>
        <v/>
      </c>
      <c r="H241" s="27" t="str">
        <f aca="false">IF(A241="","",DATE(YEAR(A241),MONTH(A241),1))</f>
        <v/>
      </c>
    </row>
    <row r="242" customFormat="false" ht="14.25" hidden="false" customHeight="true" outlineLevel="0" collapsed="false">
      <c r="A242" s="23"/>
      <c r="B242" s="24"/>
      <c r="C242" s="24"/>
      <c r="D242" s="24"/>
      <c r="E242" s="24"/>
      <c r="F242" s="25" t="str">
        <f aca="false">IF(A242="","",SUM(B242:E242))</f>
        <v/>
      </c>
      <c r="G242" s="26" t="str">
        <f aca="false">IF(A242="","",B242*Premissas!$C$4+C242*Premissas!$C$7+D242*Premissas!$C$6+E242*Premissas!$C$5)</f>
        <v/>
      </c>
      <c r="H242" s="27" t="str">
        <f aca="false">IF(A242="","",DATE(YEAR(A242),MONTH(A242),1))</f>
        <v/>
      </c>
    </row>
    <row r="243" customFormat="false" ht="14.25" hidden="false" customHeight="true" outlineLevel="0" collapsed="false">
      <c r="A243" s="23"/>
      <c r="B243" s="24"/>
      <c r="C243" s="24"/>
      <c r="D243" s="24"/>
      <c r="E243" s="24"/>
      <c r="F243" s="25" t="str">
        <f aca="false">IF(A243="","",SUM(B243:E243))</f>
        <v/>
      </c>
      <c r="G243" s="26" t="str">
        <f aca="false">IF(A243="","",B243*Premissas!$C$4+C243*Premissas!$C$7+D243*Premissas!$C$6+E243*Premissas!$C$5)</f>
        <v/>
      </c>
      <c r="H243" s="27" t="str">
        <f aca="false">IF(A243="","",DATE(YEAR(A243),MONTH(A243),1))</f>
        <v/>
      </c>
    </row>
    <row r="244" customFormat="false" ht="14.25" hidden="false" customHeight="true" outlineLevel="0" collapsed="false">
      <c r="A244" s="23"/>
      <c r="B244" s="24"/>
      <c r="C244" s="24"/>
      <c r="D244" s="24"/>
      <c r="E244" s="24"/>
      <c r="F244" s="25" t="str">
        <f aca="false">IF(A244="","",SUM(B244:E244))</f>
        <v/>
      </c>
      <c r="G244" s="26" t="str">
        <f aca="false">IF(A244="","",B244*Premissas!$C$4+C244*Premissas!$C$7+D244*Premissas!$C$6+E244*Premissas!$C$5)</f>
        <v/>
      </c>
      <c r="H244" s="27" t="str">
        <f aca="false">IF(A244="","",DATE(YEAR(A244),MONTH(A244),1))</f>
        <v/>
      </c>
    </row>
    <row r="245" customFormat="false" ht="14.25" hidden="false" customHeight="true" outlineLevel="0" collapsed="false">
      <c r="A245" s="23"/>
      <c r="B245" s="24"/>
      <c r="C245" s="24"/>
      <c r="D245" s="24"/>
      <c r="E245" s="24"/>
      <c r="F245" s="25" t="str">
        <f aca="false">IF(A245="","",SUM(B245:E245))</f>
        <v/>
      </c>
      <c r="G245" s="26" t="str">
        <f aca="false">IF(A245="","",B245*Premissas!$C$4+C245*Premissas!$C$7+D245*Premissas!$C$6+E245*Premissas!$C$5)</f>
        <v/>
      </c>
      <c r="H245" s="27" t="str">
        <f aca="false">IF(A245="","",DATE(YEAR(A245),MONTH(A245),1))</f>
        <v/>
      </c>
    </row>
    <row r="246" customFormat="false" ht="14.25" hidden="false" customHeight="true" outlineLevel="0" collapsed="false">
      <c r="A246" s="23"/>
      <c r="B246" s="24"/>
      <c r="C246" s="24"/>
      <c r="D246" s="24"/>
      <c r="E246" s="24"/>
      <c r="F246" s="25" t="str">
        <f aca="false">IF(A246="","",SUM(B246:E246))</f>
        <v/>
      </c>
      <c r="G246" s="26" t="str">
        <f aca="false">IF(A246="","",B246*Premissas!$C$4+C246*Premissas!$C$7+D246*Premissas!$C$6+E246*Premissas!$C$5)</f>
        <v/>
      </c>
      <c r="H246" s="27" t="str">
        <f aca="false">IF(A246="","",DATE(YEAR(A246),MONTH(A246),1))</f>
        <v/>
      </c>
    </row>
    <row r="247" customFormat="false" ht="14.25" hidden="false" customHeight="true" outlineLevel="0" collapsed="false">
      <c r="A247" s="23"/>
      <c r="B247" s="24"/>
      <c r="C247" s="24"/>
      <c r="D247" s="24"/>
      <c r="E247" s="24"/>
      <c r="F247" s="25" t="str">
        <f aca="false">IF(A247="","",SUM(B247:E247))</f>
        <v/>
      </c>
      <c r="G247" s="26" t="str">
        <f aca="false">IF(A247="","",B247*Premissas!$C$4+C247*Premissas!$C$7+D247*Premissas!$C$6+E247*Premissas!$C$5)</f>
        <v/>
      </c>
      <c r="H247" s="27" t="str">
        <f aca="false">IF(A247="","",DATE(YEAR(A247),MONTH(A247),1))</f>
        <v/>
      </c>
    </row>
    <row r="248" customFormat="false" ht="14.25" hidden="false" customHeight="true" outlineLevel="0" collapsed="false">
      <c r="A248" s="23"/>
      <c r="B248" s="24"/>
      <c r="C248" s="24"/>
      <c r="D248" s="24"/>
      <c r="E248" s="24"/>
      <c r="F248" s="25" t="str">
        <f aca="false">IF(A248="","",SUM(B248:E248))</f>
        <v/>
      </c>
      <c r="G248" s="26" t="str">
        <f aca="false">IF(A248="","",B248*Premissas!$C$4+C248*Premissas!$C$7+D248*Premissas!$C$6+E248*Premissas!$C$5)</f>
        <v/>
      </c>
      <c r="H248" s="27" t="str">
        <f aca="false">IF(A248="","",DATE(YEAR(A248),MONTH(A248),1))</f>
        <v/>
      </c>
    </row>
    <row r="249" customFormat="false" ht="14.25" hidden="false" customHeight="true" outlineLevel="0" collapsed="false">
      <c r="A249" s="23"/>
      <c r="B249" s="24"/>
      <c r="C249" s="24"/>
      <c r="D249" s="24"/>
      <c r="E249" s="24"/>
      <c r="F249" s="25" t="str">
        <f aca="false">IF(A249="","",SUM(B249:E249))</f>
        <v/>
      </c>
      <c r="G249" s="26" t="str">
        <f aca="false">IF(A249="","",B249*Premissas!$C$4+C249*Premissas!$C$7+D249*Premissas!$C$6+E249*Premissas!$C$5)</f>
        <v/>
      </c>
      <c r="H249" s="27" t="str">
        <f aca="false">IF(A249="","",DATE(YEAR(A249),MONTH(A249),1))</f>
        <v/>
      </c>
    </row>
    <row r="250" customFormat="false" ht="14.25" hidden="false" customHeight="true" outlineLevel="0" collapsed="false">
      <c r="A250" s="23"/>
      <c r="B250" s="24"/>
      <c r="C250" s="24"/>
      <c r="D250" s="24"/>
      <c r="E250" s="24"/>
      <c r="F250" s="25" t="str">
        <f aca="false">IF(A250="","",SUM(B250:E250))</f>
        <v/>
      </c>
      <c r="G250" s="26" t="str">
        <f aca="false">IF(A250="","",B250*Premissas!$C$4+C250*Premissas!$C$7+D250*Premissas!$C$6+E250*Premissas!$C$5)</f>
        <v/>
      </c>
      <c r="H250" s="27" t="str">
        <f aca="false">IF(A250="","",DATE(YEAR(A250),MONTH(A250),1))</f>
        <v/>
      </c>
    </row>
    <row r="251" customFormat="false" ht="14.25" hidden="false" customHeight="true" outlineLevel="0" collapsed="false">
      <c r="A251" s="23"/>
      <c r="B251" s="24"/>
      <c r="C251" s="24"/>
      <c r="D251" s="24"/>
      <c r="E251" s="24"/>
      <c r="F251" s="25" t="str">
        <f aca="false">IF(A251="","",SUM(B251:E251))</f>
        <v/>
      </c>
      <c r="G251" s="26" t="str">
        <f aca="false">IF(A251="","",B251*Premissas!$C$4+C251*Premissas!$C$7+D251*Premissas!$C$6+E251*Premissas!$C$5)</f>
        <v/>
      </c>
      <c r="H251" s="27" t="str">
        <f aca="false">IF(A251="","",DATE(YEAR(A251),MONTH(A251),1))</f>
        <v/>
      </c>
    </row>
    <row r="252" customFormat="false" ht="14.25" hidden="false" customHeight="true" outlineLevel="0" collapsed="false">
      <c r="A252" s="23"/>
      <c r="B252" s="24"/>
      <c r="C252" s="24"/>
      <c r="D252" s="24"/>
      <c r="E252" s="24"/>
      <c r="F252" s="25" t="str">
        <f aca="false">IF(A252="","",SUM(B252:E252))</f>
        <v/>
      </c>
      <c r="G252" s="26" t="str">
        <f aca="false">IF(A252="","",B252*Premissas!$C$4+C252*Premissas!$C$7+D252*Premissas!$C$6+E252*Premissas!$C$5)</f>
        <v/>
      </c>
      <c r="H252" s="27" t="str">
        <f aca="false">IF(A252="","",DATE(YEAR(A252),MONTH(A252),1))</f>
        <v/>
      </c>
    </row>
    <row r="253" customFormat="false" ht="14.25" hidden="false" customHeight="true" outlineLevel="0" collapsed="false">
      <c r="A253" s="23"/>
      <c r="B253" s="24"/>
      <c r="C253" s="24"/>
      <c r="D253" s="24"/>
      <c r="E253" s="24"/>
      <c r="F253" s="25" t="str">
        <f aca="false">IF(A253="","",SUM(B253:E253))</f>
        <v/>
      </c>
      <c r="G253" s="26" t="str">
        <f aca="false">IF(A253="","",B253*Premissas!$C$4+C253*Premissas!$C$7+D253*Premissas!$C$6+E253*Premissas!$C$5)</f>
        <v/>
      </c>
      <c r="H253" s="27" t="str">
        <f aca="false">IF(A253="","",DATE(YEAR(A253),MONTH(A253),1))</f>
        <v/>
      </c>
    </row>
    <row r="254" customFormat="false" ht="14.25" hidden="false" customHeight="true" outlineLevel="0" collapsed="false">
      <c r="A254" s="23"/>
      <c r="B254" s="24"/>
      <c r="C254" s="24"/>
      <c r="D254" s="24"/>
      <c r="E254" s="24"/>
      <c r="F254" s="25" t="str">
        <f aca="false">IF(A254="","",SUM(B254:E254))</f>
        <v/>
      </c>
      <c r="G254" s="26" t="str">
        <f aca="false">IF(A254="","",B254*Premissas!$C$4+C254*Premissas!$C$7+D254*Premissas!$C$6+E254*Premissas!$C$5)</f>
        <v/>
      </c>
      <c r="H254" s="27" t="str">
        <f aca="false">IF(A254="","",DATE(YEAR(A254),MONTH(A254),1))</f>
        <v/>
      </c>
    </row>
    <row r="255" customFormat="false" ht="14.25" hidden="false" customHeight="true" outlineLevel="0" collapsed="false">
      <c r="A255" s="23"/>
      <c r="B255" s="24"/>
      <c r="C255" s="24"/>
      <c r="D255" s="24"/>
      <c r="E255" s="24"/>
      <c r="F255" s="25" t="str">
        <f aca="false">IF(A255="","",SUM(B255:E255))</f>
        <v/>
      </c>
      <c r="G255" s="26" t="str">
        <f aca="false">IF(A255="","",B255*Premissas!$C$4+C255*Premissas!$C$7+D255*Premissas!$C$6+E255*Premissas!$C$5)</f>
        <v/>
      </c>
      <c r="H255" s="27" t="str">
        <f aca="false">IF(A255="","",DATE(YEAR(A255),MONTH(A255),1))</f>
        <v/>
      </c>
    </row>
    <row r="256" customFormat="false" ht="14.25" hidden="false" customHeight="true" outlineLevel="0" collapsed="false">
      <c r="A256" s="23"/>
      <c r="B256" s="24"/>
      <c r="C256" s="24"/>
      <c r="D256" s="24"/>
      <c r="E256" s="24"/>
      <c r="F256" s="25" t="str">
        <f aca="false">IF(A256="","",SUM(B256:E256))</f>
        <v/>
      </c>
      <c r="G256" s="26" t="str">
        <f aca="false">IF(A256="","",B256*Premissas!$C$4+C256*Premissas!$C$7+D256*Premissas!$C$6+E256*Premissas!$C$5)</f>
        <v/>
      </c>
      <c r="H256" s="27" t="str">
        <f aca="false">IF(A256="","",DATE(YEAR(A256),MONTH(A256),1))</f>
        <v/>
      </c>
    </row>
    <row r="257" customFormat="false" ht="14.25" hidden="false" customHeight="true" outlineLevel="0" collapsed="false">
      <c r="A257" s="23"/>
      <c r="B257" s="24"/>
      <c r="C257" s="24"/>
      <c r="D257" s="24"/>
      <c r="E257" s="24"/>
      <c r="F257" s="25" t="str">
        <f aca="false">IF(A257="","",SUM(B257:E257))</f>
        <v/>
      </c>
      <c r="G257" s="26" t="str">
        <f aca="false">IF(A257="","",B257*Premissas!$C$4+C257*Premissas!$C$7+D257*Premissas!$C$6+E257*Premissas!$C$5)</f>
        <v/>
      </c>
      <c r="H257" s="27" t="str">
        <f aca="false">IF(A257="","",DATE(YEAR(A257),MONTH(A257),1))</f>
        <v/>
      </c>
    </row>
    <row r="258" customFormat="false" ht="14.25" hidden="false" customHeight="true" outlineLevel="0" collapsed="false">
      <c r="A258" s="23"/>
      <c r="B258" s="24"/>
      <c r="C258" s="24"/>
      <c r="D258" s="24"/>
      <c r="E258" s="24"/>
      <c r="F258" s="25" t="str">
        <f aca="false">IF(A258="","",SUM(B258:E258))</f>
        <v/>
      </c>
      <c r="G258" s="26" t="str">
        <f aca="false">IF(A258="","",B258*Premissas!$C$4+C258*Premissas!$C$7+D258*Premissas!$C$6+E258*Premissas!$C$5)</f>
        <v/>
      </c>
      <c r="H258" s="27" t="str">
        <f aca="false">IF(A258="","",DATE(YEAR(A258),MONTH(A258),1))</f>
        <v/>
      </c>
    </row>
    <row r="259" customFormat="false" ht="14.25" hidden="false" customHeight="true" outlineLevel="0" collapsed="false">
      <c r="A259" s="23"/>
      <c r="B259" s="24"/>
      <c r="C259" s="24"/>
      <c r="D259" s="24"/>
      <c r="E259" s="24"/>
      <c r="F259" s="25" t="str">
        <f aca="false">IF(A259="","",SUM(B259:E259))</f>
        <v/>
      </c>
      <c r="G259" s="26" t="str">
        <f aca="false">IF(A259="","",B259*Premissas!$C$4+C259*Premissas!$C$7+D259*Premissas!$C$6+E259*Premissas!$C$5)</f>
        <v/>
      </c>
      <c r="H259" s="27" t="str">
        <f aca="false">IF(A259="","",DATE(YEAR(A259),MONTH(A259),1))</f>
        <v/>
      </c>
    </row>
    <row r="260" customFormat="false" ht="14.25" hidden="false" customHeight="true" outlineLevel="0" collapsed="false">
      <c r="A260" s="23"/>
      <c r="B260" s="24"/>
      <c r="C260" s="24"/>
      <c r="D260" s="24"/>
      <c r="E260" s="24"/>
      <c r="F260" s="25" t="str">
        <f aca="false">IF(A260="","",SUM(B260:E260))</f>
        <v/>
      </c>
      <c r="G260" s="26" t="str">
        <f aca="false">IF(A260="","",B260*Premissas!$C$4+C260*Premissas!$C$7+D260*Premissas!$C$6+E260*Premissas!$C$5)</f>
        <v/>
      </c>
      <c r="H260" s="27" t="str">
        <f aca="false">IF(A260="","",DATE(YEAR(A260),MONTH(A260),1))</f>
        <v/>
      </c>
    </row>
    <row r="261" customFormat="false" ht="14.25" hidden="false" customHeight="true" outlineLevel="0" collapsed="false">
      <c r="A261" s="23"/>
      <c r="B261" s="24"/>
      <c r="C261" s="24"/>
      <c r="D261" s="24"/>
      <c r="E261" s="24"/>
      <c r="F261" s="25" t="str">
        <f aca="false">IF(A261="","",SUM(B261:E261))</f>
        <v/>
      </c>
      <c r="G261" s="26" t="str">
        <f aca="false">IF(A261="","",B261*Premissas!$C$4+C261*Premissas!$C$7+D261*Premissas!$C$6+E261*Premissas!$C$5)</f>
        <v/>
      </c>
      <c r="H261" s="27" t="str">
        <f aca="false">IF(A261="","",DATE(YEAR(A261),MONTH(A261),1))</f>
        <v/>
      </c>
    </row>
    <row r="262" customFormat="false" ht="14.25" hidden="false" customHeight="true" outlineLevel="0" collapsed="false">
      <c r="A262" s="23"/>
      <c r="B262" s="24"/>
      <c r="C262" s="24"/>
      <c r="D262" s="24"/>
      <c r="E262" s="24"/>
      <c r="F262" s="25" t="str">
        <f aca="false">IF(A262="","",SUM(B262:E262))</f>
        <v/>
      </c>
      <c r="G262" s="26" t="str">
        <f aca="false">IF(A262="","",B262*Premissas!$C$4+C262*Premissas!$C$7+D262*Premissas!$C$6+E262*Premissas!$C$5)</f>
        <v/>
      </c>
      <c r="H262" s="27" t="str">
        <f aca="false">IF(A262="","",DATE(YEAR(A262),MONTH(A262),1))</f>
        <v/>
      </c>
    </row>
    <row r="263" customFormat="false" ht="14.25" hidden="false" customHeight="true" outlineLevel="0" collapsed="false">
      <c r="A263" s="23"/>
      <c r="B263" s="24"/>
      <c r="C263" s="24"/>
      <c r="D263" s="24"/>
      <c r="E263" s="24"/>
      <c r="F263" s="25" t="str">
        <f aca="false">IF(A263="","",SUM(B263:E263))</f>
        <v/>
      </c>
      <c r="G263" s="26" t="str">
        <f aca="false">IF(A263="","",B263*Premissas!$C$4+C263*Premissas!$C$7+D263*Premissas!$C$6+E263*Premissas!$C$5)</f>
        <v/>
      </c>
      <c r="H263" s="27" t="str">
        <f aca="false">IF(A263="","",DATE(YEAR(A263),MONTH(A263),1))</f>
        <v/>
      </c>
    </row>
    <row r="264" customFormat="false" ht="14.25" hidden="false" customHeight="true" outlineLevel="0" collapsed="false">
      <c r="A264" s="23"/>
      <c r="B264" s="24"/>
      <c r="C264" s="24"/>
      <c r="D264" s="24"/>
      <c r="E264" s="24"/>
      <c r="F264" s="25" t="str">
        <f aca="false">IF(A264="","",SUM(B264:E264))</f>
        <v/>
      </c>
      <c r="G264" s="26" t="str">
        <f aca="false">IF(A264="","",B264*Premissas!$C$4+C264*Premissas!$C$7+D264*Premissas!$C$6+E264*Premissas!$C$5)</f>
        <v/>
      </c>
      <c r="H264" s="27" t="str">
        <f aca="false">IF(A264="","",DATE(YEAR(A264),MONTH(A264),1))</f>
        <v/>
      </c>
    </row>
    <row r="265" customFormat="false" ht="14.25" hidden="false" customHeight="true" outlineLevel="0" collapsed="false">
      <c r="A265" s="23"/>
      <c r="B265" s="24"/>
      <c r="C265" s="24"/>
      <c r="D265" s="24"/>
      <c r="E265" s="24"/>
      <c r="F265" s="25" t="str">
        <f aca="false">IF(A265="","",SUM(B265:E265))</f>
        <v/>
      </c>
      <c r="G265" s="26" t="str">
        <f aca="false">IF(A265="","",B265*Premissas!$C$4+C265*Premissas!$C$7+D265*Premissas!$C$6+E265*Premissas!$C$5)</f>
        <v/>
      </c>
      <c r="H265" s="27" t="str">
        <f aca="false">IF(A265="","",DATE(YEAR(A265),MONTH(A265),1))</f>
        <v/>
      </c>
    </row>
    <row r="266" customFormat="false" ht="14.25" hidden="false" customHeight="true" outlineLevel="0" collapsed="false">
      <c r="A266" s="23"/>
      <c r="B266" s="24"/>
      <c r="C266" s="24"/>
      <c r="D266" s="24"/>
      <c r="E266" s="24"/>
      <c r="F266" s="25" t="str">
        <f aca="false">IF(A266="","",SUM(B266:E266))</f>
        <v/>
      </c>
      <c r="G266" s="26" t="str">
        <f aca="false">IF(A266="","",B266*Premissas!$C$4+C266*Premissas!$C$7+D266*Premissas!$C$6+E266*Premissas!$C$5)</f>
        <v/>
      </c>
      <c r="H266" s="27" t="str">
        <f aca="false">IF(A266="","",DATE(YEAR(A266),MONTH(A266),1))</f>
        <v/>
      </c>
    </row>
    <row r="267" customFormat="false" ht="14.25" hidden="false" customHeight="true" outlineLevel="0" collapsed="false">
      <c r="A267" s="23"/>
      <c r="B267" s="24"/>
      <c r="C267" s="24"/>
      <c r="D267" s="24"/>
      <c r="E267" s="24"/>
      <c r="F267" s="25" t="str">
        <f aca="false">IF(A267="","",SUM(B267:E267))</f>
        <v/>
      </c>
      <c r="G267" s="26" t="str">
        <f aca="false">IF(A267="","",B267*Premissas!$C$4+C267*Premissas!$C$7+D267*Premissas!$C$6+E267*Premissas!$C$5)</f>
        <v/>
      </c>
      <c r="H267" s="27" t="str">
        <f aca="false">IF(A267="","",DATE(YEAR(A267),MONTH(A267),1))</f>
        <v/>
      </c>
    </row>
    <row r="268" customFormat="false" ht="14.25" hidden="false" customHeight="true" outlineLevel="0" collapsed="false">
      <c r="A268" s="23"/>
      <c r="B268" s="24"/>
      <c r="C268" s="24"/>
      <c r="D268" s="24"/>
      <c r="E268" s="24"/>
      <c r="F268" s="25" t="str">
        <f aca="false">IF(A268="","",SUM(B268:E268))</f>
        <v/>
      </c>
      <c r="G268" s="26" t="str">
        <f aca="false">IF(A268="","",B268*Premissas!$C$4+C268*Premissas!$C$7+D268*Premissas!$C$6+E268*Premissas!$C$5)</f>
        <v/>
      </c>
      <c r="H268" s="27" t="str">
        <f aca="false">IF(A268="","",DATE(YEAR(A268),MONTH(A268),1))</f>
        <v/>
      </c>
    </row>
    <row r="269" customFormat="false" ht="14.25" hidden="false" customHeight="true" outlineLevel="0" collapsed="false">
      <c r="A269" s="23"/>
      <c r="B269" s="24"/>
      <c r="C269" s="24"/>
      <c r="D269" s="24"/>
      <c r="E269" s="24"/>
      <c r="F269" s="25" t="str">
        <f aca="false">IF(A269="","",SUM(B269:E269))</f>
        <v/>
      </c>
      <c r="G269" s="26" t="str">
        <f aca="false">IF(A269="","",B269*Premissas!$C$4+C269*Premissas!$C$7+D269*Premissas!$C$6+E269*Premissas!$C$5)</f>
        <v/>
      </c>
      <c r="H269" s="27" t="str">
        <f aca="false">IF(A269="","",DATE(YEAR(A269),MONTH(A269),1))</f>
        <v/>
      </c>
    </row>
    <row r="270" customFormat="false" ht="14.25" hidden="false" customHeight="true" outlineLevel="0" collapsed="false">
      <c r="A270" s="23"/>
      <c r="B270" s="24"/>
      <c r="C270" s="24"/>
      <c r="D270" s="24"/>
      <c r="E270" s="24"/>
      <c r="F270" s="25" t="str">
        <f aca="false">IF(A270="","",SUM(B270:E270))</f>
        <v/>
      </c>
      <c r="G270" s="26" t="str">
        <f aca="false">IF(A270="","",B270*Premissas!$C$4+C270*Premissas!$C$7+D270*Premissas!$C$6+E270*Premissas!$C$5)</f>
        <v/>
      </c>
      <c r="H270" s="27" t="str">
        <f aca="false">IF(A270="","",DATE(YEAR(A270),MONTH(A270),1))</f>
        <v/>
      </c>
    </row>
    <row r="271" customFormat="false" ht="14.25" hidden="false" customHeight="true" outlineLevel="0" collapsed="false">
      <c r="A271" s="23"/>
      <c r="B271" s="24"/>
      <c r="C271" s="24"/>
      <c r="D271" s="24"/>
      <c r="E271" s="24"/>
      <c r="F271" s="25" t="str">
        <f aca="false">IF(A271="","",SUM(B271:E271))</f>
        <v/>
      </c>
      <c r="G271" s="26" t="str">
        <f aca="false">IF(A271="","",B271*Premissas!$C$4+C271*Premissas!$C$7+D271*Premissas!$C$6+E271*Premissas!$C$5)</f>
        <v/>
      </c>
      <c r="H271" s="27" t="str">
        <f aca="false">IF(A271="","",DATE(YEAR(A271),MONTH(A271),1))</f>
        <v/>
      </c>
    </row>
    <row r="272" customFormat="false" ht="14.25" hidden="false" customHeight="true" outlineLevel="0" collapsed="false">
      <c r="A272" s="23"/>
      <c r="B272" s="24"/>
      <c r="C272" s="24"/>
      <c r="D272" s="24"/>
      <c r="E272" s="24"/>
      <c r="F272" s="25" t="str">
        <f aca="false">IF(A272="","",SUM(B272:E272))</f>
        <v/>
      </c>
      <c r="G272" s="26" t="str">
        <f aca="false">IF(A272="","",B272*Premissas!$C$4+C272*Premissas!$C$7+D272*Premissas!$C$6+E272*Premissas!$C$5)</f>
        <v/>
      </c>
      <c r="H272" s="27" t="str">
        <f aca="false">IF(A272="","",DATE(YEAR(A272),MONTH(A272),1))</f>
        <v/>
      </c>
    </row>
    <row r="273" customFormat="false" ht="14.25" hidden="false" customHeight="true" outlineLevel="0" collapsed="false">
      <c r="A273" s="23"/>
      <c r="B273" s="24"/>
      <c r="C273" s="24"/>
      <c r="D273" s="24"/>
      <c r="E273" s="24"/>
      <c r="F273" s="25" t="str">
        <f aca="false">IF(A273="","",SUM(B273:E273))</f>
        <v/>
      </c>
      <c r="G273" s="26" t="str">
        <f aca="false">IF(A273="","",B273*Premissas!$C$4+C273*Premissas!$C$7+D273*Premissas!$C$6+E273*Premissas!$C$5)</f>
        <v/>
      </c>
      <c r="H273" s="27" t="str">
        <f aca="false">IF(A273="","",DATE(YEAR(A273),MONTH(A273),1))</f>
        <v/>
      </c>
    </row>
    <row r="274" customFormat="false" ht="14.25" hidden="false" customHeight="true" outlineLevel="0" collapsed="false">
      <c r="A274" s="23"/>
      <c r="B274" s="24"/>
      <c r="C274" s="24"/>
      <c r="D274" s="24"/>
      <c r="E274" s="24"/>
      <c r="F274" s="25" t="str">
        <f aca="false">IF(A274="","",SUM(B274:E274))</f>
        <v/>
      </c>
      <c r="G274" s="26" t="str">
        <f aca="false">IF(A274="","",B274*Premissas!$C$4+C274*Premissas!$C$7+D274*Premissas!$C$6+E274*Premissas!$C$5)</f>
        <v/>
      </c>
      <c r="H274" s="27" t="str">
        <f aca="false">IF(A274="","",DATE(YEAR(A274),MONTH(A274),1))</f>
        <v/>
      </c>
    </row>
    <row r="275" customFormat="false" ht="14.25" hidden="false" customHeight="true" outlineLevel="0" collapsed="false">
      <c r="A275" s="23"/>
      <c r="B275" s="24"/>
      <c r="C275" s="24"/>
      <c r="D275" s="24"/>
      <c r="E275" s="24"/>
      <c r="F275" s="25" t="str">
        <f aca="false">IF(A275="","",SUM(B275:E275))</f>
        <v/>
      </c>
      <c r="G275" s="26" t="str">
        <f aca="false">IF(A275="","",B275*Premissas!$C$4+C275*Premissas!$C$7+D275*Premissas!$C$6+E275*Premissas!$C$5)</f>
        <v/>
      </c>
      <c r="H275" s="27" t="str">
        <f aca="false">IF(A275="","",DATE(YEAR(A275),MONTH(A275),1))</f>
        <v/>
      </c>
    </row>
    <row r="276" customFormat="false" ht="14.25" hidden="false" customHeight="true" outlineLevel="0" collapsed="false">
      <c r="A276" s="23"/>
      <c r="B276" s="24"/>
      <c r="C276" s="24"/>
      <c r="D276" s="24"/>
      <c r="E276" s="24"/>
      <c r="F276" s="25" t="str">
        <f aca="false">IF(A276="","",SUM(B276:E276))</f>
        <v/>
      </c>
      <c r="G276" s="26" t="str">
        <f aca="false">IF(A276="","",B276*Premissas!$C$4+C276*Premissas!$C$7+D276*Premissas!$C$6+E276*Premissas!$C$5)</f>
        <v/>
      </c>
      <c r="H276" s="27" t="str">
        <f aca="false">IF(A276="","",DATE(YEAR(A276),MONTH(A276),1))</f>
        <v/>
      </c>
    </row>
    <row r="277" customFormat="false" ht="14.25" hidden="false" customHeight="true" outlineLevel="0" collapsed="false">
      <c r="A277" s="23"/>
      <c r="B277" s="24"/>
      <c r="C277" s="24"/>
      <c r="D277" s="24"/>
      <c r="E277" s="24"/>
      <c r="F277" s="25" t="str">
        <f aca="false">IF(A277="","",SUM(B277:E277))</f>
        <v/>
      </c>
      <c r="G277" s="26" t="str">
        <f aca="false">IF(A277="","",B277*Premissas!$C$4+C277*Premissas!$C$7+D277*Premissas!$C$6+E277*Premissas!$C$5)</f>
        <v/>
      </c>
      <c r="H277" s="27" t="str">
        <f aca="false">IF(A277="","",DATE(YEAR(A277),MONTH(A277),1))</f>
        <v/>
      </c>
    </row>
    <row r="278" customFormat="false" ht="14.25" hidden="false" customHeight="true" outlineLevel="0" collapsed="false">
      <c r="A278" s="23"/>
      <c r="B278" s="24"/>
      <c r="C278" s="24"/>
      <c r="D278" s="24"/>
      <c r="E278" s="24"/>
      <c r="F278" s="25" t="str">
        <f aca="false">IF(A278="","",SUM(B278:E278))</f>
        <v/>
      </c>
      <c r="G278" s="26" t="str">
        <f aca="false">IF(A278="","",B278*Premissas!$C$4+C278*Premissas!$C$7+D278*Premissas!$C$6+E278*Premissas!$C$5)</f>
        <v/>
      </c>
      <c r="H278" s="27" t="str">
        <f aca="false">IF(A278="","",DATE(YEAR(A278),MONTH(A278),1))</f>
        <v/>
      </c>
    </row>
    <row r="279" customFormat="false" ht="14.25" hidden="false" customHeight="true" outlineLevel="0" collapsed="false">
      <c r="A279" s="23"/>
      <c r="B279" s="24"/>
      <c r="C279" s="24"/>
      <c r="D279" s="24"/>
      <c r="E279" s="24"/>
      <c r="F279" s="25" t="str">
        <f aca="false">IF(A279="","",SUM(B279:E279))</f>
        <v/>
      </c>
      <c r="G279" s="26" t="str">
        <f aca="false">IF(A279="","",B279*Premissas!$C$4+C279*Premissas!$C$7+D279*Premissas!$C$6+E279*Premissas!$C$5)</f>
        <v/>
      </c>
      <c r="H279" s="27" t="str">
        <f aca="false">IF(A279="","",DATE(YEAR(A279),MONTH(A279),1))</f>
        <v/>
      </c>
    </row>
    <row r="280" customFormat="false" ht="14.25" hidden="false" customHeight="true" outlineLevel="0" collapsed="false">
      <c r="A280" s="23"/>
      <c r="B280" s="24"/>
      <c r="C280" s="24"/>
      <c r="D280" s="24"/>
      <c r="E280" s="24"/>
      <c r="F280" s="25" t="str">
        <f aca="false">IF(A280="","",SUM(B280:E280))</f>
        <v/>
      </c>
      <c r="G280" s="26" t="str">
        <f aca="false">IF(A280="","",B280*Premissas!$C$4+C280*Premissas!$C$7+D280*Premissas!$C$6+E280*Premissas!$C$5)</f>
        <v/>
      </c>
      <c r="H280" s="27" t="str">
        <f aca="false">IF(A280="","",DATE(YEAR(A280),MONTH(A280),1))</f>
        <v/>
      </c>
    </row>
    <row r="281" customFormat="false" ht="14.25" hidden="false" customHeight="true" outlineLevel="0" collapsed="false">
      <c r="A281" s="23"/>
      <c r="B281" s="24"/>
      <c r="C281" s="24"/>
      <c r="D281" s="24"/>
      <c r="E281" s="24"/>
      <c r="F281" s="25" t="str">
        <f aca="false">IF(A281="","",SUM(B281:E281))</f>
        <v/>
      </c>
      <c r="G281" s="26" t="str">
        <f aca="false">IF(A281="","",B281*Premissas!$C$4+C281*Premissas!$C$7+D281*Premissas!$C$6+E281*Premissas!$C$5)</f>
        <v/>
      </c>
      <c r="H281" s="27" t="str">
        <f aca="false">IF(A281="","",DATE(YEAR(A281),MONTH(A281),1))</f>
        <v/>
      </c>
    </row>
    <row r="282" customFormat="false" ht="14.25" hidden="false" customHeight="true" outlineLevel="0" collapsed="false">
      <c r="A282" s="23"/>
      <c r="B282" s="24"/>
      <c r="C282" s="24"/>
      <c r="D282" s="24"/>
      <c r="E282" s="24"/>
      <c r="F282" s="25" t="str">
        <f aca="false">IF(A282="","",SUM(B282:E282))</f>
        <v/>
      </c>
      <c r="G282" s="26" t="str">
        <f aca="false">IF(A282="","",B282*Premissas!$C$4+C282*Premissas!$C$7+D282*Premissas!$C$6+E282*Premissas!$C$5)</f>
        <v/>
      </c>
      <c r="H282" s="27" t="str">
        <f aca="false">IF(A282="","",DATE(YEAR(A282),MONTH(A282),1))</f>
        <v/>
      </c>
    </row>
    <row r="283" customFormat="false" ht="14.25" hidden="false" customHeight="true" outlineLevel="0" collapsed="false">
      <c r="A283" s="23"/>
      <c r="B283" s="24"/>
      <c r="C283" s="24"/>
      <c r="D283" s="24"/>
      <c r="E283" s="24"/>
      <c r="F283" s="25" t="str">
        <f aca="false">IF(A283="","",SUM(B283:E283))</f>
        <v/>
      </c>
      <c r="G283" s="26" t="str">
        <f aca="false">IF(A283="","",B283*Premissas!$C$4+C283*Premissas!$C$7+D283*Premissas!$C$6+E283*Premissas!$C$5)</f>
        <v/>
      </c>
      <c r="H283" s="27" t="str">
        <f aca="false">IF(A283="","",DATE(YEAR(A283),MONTH(A283),1))</f>
        <v/>
      </c>
    </row>
    <row r="284" customFormat="false" ht="14.25" hidden="false" customHeight="true" outlineLevel="0" collapsed="false">
      <c r="A284" s="23"/>
      <c r="B284" s="24"/>
      <c r="C284" s="24"/>
      <c r="D284" s="24"/>
      <c r="E284" s="24"/>
      <c r="F284" s="25" t="str">
        <f aca="false">IF(A284="","",SUM(B284:E284))</f>
        <v/>
      </c>
      <c r="G284" s="26" t="str">
        <f aca="false">IF(A284="","",B284*Premissas!$C$4+C284*Premissas!$C$7+D284*Premissas!$C$6+E284*Premissas!$C$5)</f>
        <v/>
      </c>
      <c r="H284" s="27" t="str">
        <f aca="false">IF(A284="","",DATE(YEAR(A284),MONTH(A284),1))</f>
        <v/>
      </c>
    </row>
    <row r="285" customFormat="false" ht="14.25" hidden="false" customHeight="true" outlineLevel="0" collapsed="false">
      <c r="A285" s="23"/>
      <c r="B285" s="24"/>
      <c r="C285" s="24"/>
      <c r="D285" s="24"/>
      <c r="E285" s="24"/>
      <c r="F285" s="25" t="str">
        <f aca="false">IF(A285="","",SUM(B285:E285))</f>
        <v/>
      </c>
      <c r="G285" s="26" t="str">
        <f aca="false">IF(A285="","",B285*Premissas!$C$4+C285*Premissas!$C$7+D285*Premissas!$C$6+E285*Premissas!$C$5)</f>
        <v/>
      </c>
      <c r="H285" s="27" t="str">
        <f aca="false">IF(A285="","",DATE(YEAR(A285),MONTH(A285),1))</f>
        <v/>
      </c>
    </row>
    <row r="286" customFormat="false" ht="14.25" hidden="false" customHeight="true" outlineLevel="0" collapsed="false">
      <c r="A286" s="23"/>
      <c r="B286" s="24"/>
      <c r="C286" s="24"/>
      <c r="D286" s="24"/>
      <c r="E286" s="24"/>
      <c r="F286" s="25" t="str">
        <f aca="false">IF(A286="","",SUM(B286:E286))</f>
        <v/>
      </c>
      <c r="G286" s="26" t="str">
        <f aca="false">IF(A286="","",B286*Premissas!$C$4+C286*Premissas!$C$7+D286*Premissas!$C$6+E286*Premissas!$C$5)</f>
        <v/>
      </c>
      <c r="H286" s="27" t="str">
        <f aca="false">IF(A286="","",DATE(YEAR(A286),MONTH(A286),1))</f>
        <v/>
      </c>
    </row>
    <row r="287" customFormat="false" ht="14.25" hidden="false" customHeight="true" outlineLevel="0" collapsed="false">
      <c r="A287" s="23"/>
      <c r="B287" s="24"/>
      <c r="C287" s="24"/>
      <c r="D287" s="24"/>
      <c r="E287" s="24"/>
      <c r="F287" s="25" t="str">
        <f aca="false">IF(A287="","",SUM(B287:E287))</f>
        <v/>
      </c>
      <c r="G287" s="26" t="str">
        <f aca="false">IF(A287="","",B287*Premissas!$C$4+C287*Premissas!$C$7+D287*Premissas!$C$6+E287*Premissas!$C$5)</f>
        <v/>
      </c>
      <c r="H287" s="27" t="str">
        <f aca="false">IF(A287="","",DATE(YEAR(A287),MONTH(A287),1))</f>
        <v/>
      </c>
    </row>
    <row r="288" customFormat="false" ht="14.25" hidden="false" customHeight="true" outlineLevel="0" collapsed="false">
      <c r="A288" s="23"/>
      <c r="B288" s="24"/>
      <c r="C288" s="24"/>
      <c r="D288" s="24"/>
      <c r="E288" s="24"/>
      <c r="F288" s="25" t="str">
        <f aca="false">IF(A288="","",SUM(B288:E288))</f>
        <v/>
      </c>
      <c r="G288" s="26" t="str">
        <f aca="false">IF(A288="","",B288*Premissas!$C$4+C288*Premissas!$C$7+D288*Premissas!$C$6+E288*Premissas!$C$5)</f>
        <v/>
      </c>
      <c r="H288" s="27" t="str">
        <f aca="false">IF(A288="","",DATE(YEAR(A288),MONTH(A288),1))</f>
        <v/>
      </c>
    </row>
    <row r="289" customFormat="false" ht="14.25" hidden="false" customHeight="true" outlineLevel="0" collapsed="false">
      <c r="A289" s="23"/>
      <c r="B289" s="24"/>
      <c r="C289" s="24"/>
      <c r="D289" s="24"/>
      <c r="E289" s="24"/>
      <c r="F289" s="25" t="str">
        <f aca="false">IF(A289="","",SUM(B289:E289))</f>
        <v/>
      </c>
      <c r="G289" s="26" t="str">
        <f aca="false">IF(A289="","",B289*Premissas!$C$4+C289*Premissas!$C$7+D289*Premissas!$C$6+E289*Premissas!$C$5)</f>
        <v/>
      </c>
      <c r="H289" s="27" t="str">
        <f aca="false">IF(A289="","",DATE(YEAR(A289),MONTH(A289),1))</f>
        <v/>
      </c>
    </row>
    <row r="290" customFormat="false" ht="14.25" hidden="false" customHeight="true" outlineLevel="0" collapsed="false">
      <c r="A290" s="23"/>
      <c r="B290" s="24"/>
      <c r="C290" s="24"/>
      <c r="D290" s="24"/>
      <c r="E290" s="24"/>
      <c r="F290" s="25" t="str">
        <f aca="false">IF(A290="","",SUM(B290:E290))</f>
        <v/>
      </c>
      <c r="G290" s="26" t="str">
        <f aca="false">IF(A290="","",B290*Premissas!$C$4+C290*Premissas!$C$7+D290*Premissas!$C$6+E290*Premissas!$C$5)</f>
        <v/>
      </c>
      <c r="H290" s="27" t="str">
        <f aca="false">IF(A290="","",DATE(YEAR(A290),MONTH(A290),1))</f>
        <v/>
      </c>
    </row>
    <row r="291" customFormat="false" ht="14.25" hidden="false" customHeight="true" outlineLevel="0" collapsed="false">
      <c r="A291" s="23"/>
      <c r="B291" s="24"/>
      <c r="C291" s="24"/>
      <c r="D291" s="24"/>
      <c r="E291" s="24"/>
      <c r="F291" s="25" t="str">
        <f aca="false">IF(A291="","",SUM(B291:E291))</f>
        <v/>
      </c>
      <c r="G291" s="26" t="str">
        <f aca="false">IF(A291="","",B291*Premissas!$C$4+C291*Premissas!$C$7+D291*Premissas!$C$6+E291*Premissas!$C$5)</f>
        <v/>
      </c>
      <c r="H291" s="27" t="str">
        <f aca="false">IF(A291="","",DATE(YEAR(A291),MONTH(A291),1))</f>
        <v/>
      </c>
    </row>
    <row r="292" customFormat="false" ht="14.25" hidden="false" customHeight="true" outlineLevel="0" collapsed="false">
      <c r="A292" s="23"/>
      <c r="B292" s="24"/>
      <c r="C292" s="24"/>
      <c r="D292" s="24"/>
      <c r="E292" s="24"/>
      <c r="F292" s="25" t="str">
        <f aca="false">IF(A292="","",SUM(B292:E292))</f>
        <v/>
      </c>
      <c r="G292" s="26" t="str">
        <f aca="false">IF(A292="","",B292*Premissas!$C$4+C292*Premissas!$C$7+D292*Premissas!$C$6+E292*Premissas!$C$5)</f>
        <v/>
      </c>
      <c r="H292" s="27" t="str">
        <f aca="false">IF(A292="","",DATE(YEAR(A292),MONTH(A292),1))</f>
        <v/>
      </c>
    </row>
    <row r="293" customFormat="false" ht="14.25" hidden="false" customHeight="true" outlineLevel="0" collapsed="false">
      <c r="A293" s="23"/>
      <c r="B293" s="24"/>
      <c r="C293" s="24"/>
      <c r="D293" s="24"/>
      <c r="E293" s="24"/>
      <c r="F293" s="25" t="str">
        <f aca="false">IF(A293="","",SUM(B293:E293))</f>
        <v/>
      </c>
      <c r="G293" s="26" t="str">
        <f aca="false">IF(A293="","",B293*Premissas!$C$4+C293*Premissas!$C$7+D293*Premissas!$C$6+E293*Premissas!$C$5)</f>
        <v/>
      </c>
      <c r="H293" s="27" t="str">
        <f aca="false">IF(A293="","",DATE(YEAR(A293),MONTH(A293),1))</f>
        <v/>
      </c>
    </row>
    <row r="294" customFormat="false" ht="14.25" hidden="false" customHeight="true" outlineLevel="0" collapsed="false">
      <c r="A294" s="23"/>
      <c r="B294" s="24"/>
      <c r="C294" s="24"/>
      <c r="D294" s="24"/>
      <c r="E294" s="24"/>
      <c r="F294" s="25" t="str">
        <f aca="false">IF(A294="","",SUM(B294:E294))</f>
        <v/>
      </c>
      <c r="G294" s="26" t="str">
        <f aca="false">IF(A294="","",B294*Premissas!$C$4+C294*Premissas!$C$7+D294*Premissas!$C$6+E294*Premissas!$C$5)</f>
        <v/>
      </c>
      <c r="H294" s="27" t="str">
        <f aca="false">IF(A294="","",DATE(YEAR(A294),MONTH(A294),1))</f>
        <v/>
      </c>
    </row>
    <row r="295" customFormat="false" ht="14.25" hidden="false" customHeight="true" outlineLevel="0" collapsed="false">
      <c r="A295" s="23"/>
      <c r="B295" s="24"/>
      <c r="C295" s="24"/>
      <c r="D295" s="24"/>
      <c r="E295" s="24"/>
      <c r="F295" s="25" t="str">
        <f aca="false">IF(A295="","",SUM(B295:E295))</f>
        <v/>
      </c>
      <c r="G295" s="26" t="str">
        <f aca="false">IF(A295="","",B295*Premissas!$C$4+C295*Premissas!$C$7+D295*Premissas!$C$6+E295*Premissas!$C$5)</f>
        <v/>
      </c>
      <c r="H295" s="27" t="str">
        <f aca="false">IF(A295="","",DATE(YEAR(A295),MONTH(A295),1))</f>
        <v/>
      </c>
    </row>
    <row r="296" customFormat="false" ht="14.25" hidden="false" customHeight="true" outlineLevel="0" collapsed="false">
      <c r="A296" s="23"/>
      <c r="B296" s="24"/>
      <c r="C296" s="24"/>
      <c r="D296" s="24"/>
      <c r="E296" s="24"/>
      <c r="F296" s="25" t="str">
        <f aca="false">IF(A296="","",SUM(B296:E296))</f>
        <v/>
      </c>
      <c r="G296" s="26" t="str">
        <f aca="false">IF(A296="","",B296*Premissas!$C$4+C296*Premissas!$C$7+D296*Premissas!$C$6+E296*Premissas!$C$5)</f>
        <v/>
      </c>
      <c r="H296" s="27" t="str">
        <f aca="false">IF(A296="","",DATE(YEAR(A296),MONTH(A296),1))</f>
        <v/>
      </c>
    </row>
    <row r="297" customFormat="false" ht="14.25" hidden="false" customHeight="true" outlineLevel="0" collapsed="false">
      <c r="A297" s="23"/>
      <c r="B297" s="24"/>
      <c r="C297" s="24"/>
      <c r="D297" s="24"/>
      <c r="E297" s="24"/>
      <c r="F297" s="25" t="str">
        <f aca="false">IF(A297="","",SUM(B297:E297))</f>
        <v/>
      </c>
      <c r="G297" s="26" t="str">
        <f aca="false">IF(A297="","",B297*Premissas!$C$4+C297*Premissas!$C$7+D297*Premissas!$C$6+E297*Premissas!$C$5)</f>
        <v/>
      </c>
      <c r="H297" s="27" t="str">
        <f aca="false">IF(A297="","",DATE(YEAR(A297),MONTH(A297),1))</f>
        <v/>
      </c>
    </row>
    <row r="298" customFormat="false" ht="14.25" hidden="false" customHeight="true" outlineLevel="0" collapsed="false">
      <c r="A298" s="23"/>
      <c r="B298" s="24"/>
      <c r="C298" s="24"/>
      <c r="D298" s="24"/>
      <c r="E298" s="24"/>
      <c r="F298" s="25" t="str">
        <f aca="false">IF(A298="","",SUM(B298:E298))</f>
        <v/>
      </c>
      <c r="G298" s="26" t="str">
        <f aca="false">IF(A298="","",B298*Premissas!$C$4+C298*Premissas!$C$7+D298*Premissas!$C$6+E298*Premissas!$C$5)</f>
        <v/>
      </c>
      <c r="H298" s="27" t="str">
        <f aca="false">IF(A298="","",DATE(YEAR(A298),MONTH(A298),1))</f>
        <v/>
      </c>
    </row>
    <row r="299" customFormat="false" ht="14.25" hidden="false" customHeight="true" outlineLevel="0" collapsed="false">
      <c r="A299" s="23"/>
      <c r="B299" s="24"/>
      <c r="C299" s="24"/>
      <c r="D299" s="24"/>
      <c r="E299" s="24"/>
      <c r="F299" s="25" t="str">
        <f aca="false">IF(A299="","",SUM(B299:E299))</f>
        <v/>
      </c>
      <c r="G299" s="26" t="str">
        <f aca="false">IF(A299="","",B299*Premissas!$C$4+C299*Premissas!$C$7+D299*Premissas!$C$6+E299*Premissas!$C$5)</f>
        <v/>
      </c>
      <c r="H299" s="27" t="str">
        <f aca="false">IF(A299="","",DATE(YEAR(A299),MONTH(A299),1))</f>
        <v/>
      </c>
    </row>
    <row r="300" customFormat="false" ht="14.25" hidden="false" customHeight="true" outlineLevel="0" collapsed="false">
      <c r="A300" s="23"/>
      <c r="B300" s="24"/>
      <c r="C300" s="24"/>
      <c r="D300" s="24"/>
      <c r="E300" s="24"/>
      <c r="F300" s="25" t="str">
        <f aca="false">IF(A300="","",SUM(B300:E300))</f>
        <v/>
      </c>
      <c r="G300" s="26" t="str">
        <f aca="false">IF(A300="","",B300*Premissas!$C$4+C300*Premissas!$C$7+D300*Premissas!$C$6+E300*Premissas!$C$5)</f>
        <v/>
      </c>
      <c r="H300" s="27" t="str">
        <f aca="false">IF(A300="","",DATE(YEAR(A300),MONTH(A300),1))</f>
        <v/>
      </c>
    </row>
    <row r="301" customFormat="false" ht="14.25" hidden="false" customHeight="true" outlineLevel="0" collapsed="false">
      <c r="A301" s="23"/>
      <c r="B301" s="24"/>
      <c r="C301" s="24"/>
      <c r="D301" s="24"/>
      <c r="E301" s="24"/>
      <c r="F301" s="25" t="str">
        <f aca="false">IF(A301="","",SUM(B301:E301))</f>
        <v/>
      </c>
      <c r="G301" s="26" t="str">
        <f aca="false">IF(A301="","",B301*Premissas!$C$4+C301*Premissas!$C$7+D301*Premissas!$C$6+E301*Premissas!$C$5)</f>
        <v/>
      </c>
      <c r="H301" s="27" t="str">
        <f aca="false">IF(A301="","",DATE(YEAR(A301),MONTH(A301),1))</f>
        <v/>
      </c>
    </row>
    <row r="302" customFormat="false" ht="14.25" hidden="false" customHeight="true" outlineLevel="0" collapsed="false">
      <c r="A302" s="23"/>
      <c r="B302" s="24"/>
      <c r="C302" s="24"/>
      <c r="D302" s="24"/>
      <c r="E302" s="24"/>
      <c r="F302" s="25" t="str">
        <f aca="false">IF(A302="","",SUM(B302:E302))</f>
        <v/>
      </c>
      <c r="G302" s="26" t="str">
        <f aca="false">IF(A302="","",B302*Premissas!$C$4+C302*Premissas!$C$7+D302*Premissas!$C$6+E302*Premissas!$C$5)</f>
        <v/>
      </c>
      <c r="H302" s="27" t="str">
        <f aca="false">IF(A302="","",DATE(YEAR(A302),MONTH(A302),1))</f>
        <v/>
      </c>
    </row>
    <row r="303" customFormat="false" ht="14.25" hidden="false" customHeight="true" outlineLevel="0" collapsed="false">
      <c r="A303" s="23"/>
      <c r="B303" s="24"/>
      <c r="C303" s="24"/>
      <c r="D303" s="24"/>
      <c r="E303" s="24"/>
      <c r="F303" s="25" t="str">
        <f aca="false">IF(A303="","",SUM(B303:E303))</f>
        <v/>
      </c>
      <c r="G303" s="26" t="str">
        <f aca="false">IF(A303="","",B303*Premissas!$C$4+C303*Premissas!$C$7+D303*Premissas!$C$6+E303*Premissas!$C$5)</f>
        <v/>
      </c>
      <c r="H303" s="27" t="str">
        <f aca="false">IF(A303="","",DATE(YEAR(A303),MONTH(A303),1))</f>
        <v/>
      </c>
    </row>
    <row r="304" customFormat="false" ht="14.25" hidden="false" customHeight="true" outlineLevel="0" collapsed="false">
      <c r="A304" s="23"/>
      <c r="B304" s="24"/>
      <c r="C304" s="24"/>
      <c r="D304" s="24"/>
      <c r="E304" s="24"/>
      <c r="F304" s="25" t="str">
        <f aca="false">IF(A304="","",SUM(B304:E304))</f>
        <v/>
      </c>
      <c r="G304" s="26" t="str">
        <f aca="false">IF(A304="","",B304*Premissas!$C$4+C304*Premissas!$C$7+D304*Premissas!$C$6+E304*Premissas!$C$5)</f>
        <v/>
      </c>
      <c r="H304" s="27" t="str">
        <f aca="false">IF(A304="","",DATE(YEAR(A304),MONTH(A304),1))</f>
        <v/>
      </c>
    </row>
    <row r="305" customFormat="false" ht="14.25" hidden="false" customHeight="true" outlineLevel="0" collapsed="false">
      <c r="A305" s="23"/>
      <c r="B305" s="24"/>
      <c r="C305" s="24"/>
      <c r="D305" s="24"/>
      <c r="E305" s="24"/>
      <c r="F305" s="25" t="str">
        <f aca="false">IF(A305="","",SUM(B305:E305))</f>
        <v/>
      </c>
      <c r="G305" s="26" t="str">
        <f aca="false">IF(A305="","",B305*Premissas!$C$4+C305*Premissas!$C$7+D305*Premissas!$C$6+E305*Premissas!$C$5)</f>
        <v/>
      </c>
      <c r="H305" s="27" t="str">
        <f aca="false">IF(A305="","",DATE(YEAR(A305),MONTH(A305),1))</f>
        <v/>
      </c>
    </row>
    <row r="306" customFormat="false" ht="14.25" hidden="false" customHeight="true" outlineLevel="0" collapsed="false">
      <c r="A306" s="23"/>
      <c r="B306" s="24"/>
      <c r="C306" s="24"/>
      <c r="D306" s="24"/>
      <c r="E306" s="24"/>
      <c r="F306" s="25" t="str">
        <f aca="false">IF(A306="","",SUM(B306:E306))</f>
        <v/>
      </c>
      <c r="G306" s="26" t="str">
        <f aca="false">IF(A306="","",B306*Premissas!$C$4+C306*Premissas!$C$7+D306*Premissas!$C$6+E306*Premissas!$C$5)</f>
        <v/>
      </c>
      <c r="H306" s="27" t="str">
        <f aca="false">IF(A306="","",DATE(YEAR(A306),MONTH(A306),1))</f>
        <v/>
      </c>
    </row>
    <row r="307" customFormat="false" ht="14.25" hidden="false" customHeight="true" outlineLevel="0" collapsed="false">
      <c r="A307" s="23"/>
      <c r="B307" s="24"/>
      <c r="C307" s="24"/>
      <c r="D307" s="24"/>
      <c r="E307" s="24"/>
      <c r="F307" s="25" t="str">
        <f aca="false">IF(A307="","",SUM(B307:E307))</f>
        <v/>
      </c>
      <c r="G307" s="26" t="str">
        <f aca="false">IF(A307="","",B307*Premissas!$C$4+C307*Premissas!$C$7+D307*Premissas!$C$6+E307*Premissas!$C$5)</f>
        <v/>
      </c>
      <c r="H307" s="27" t="str">
        <f aca="false">IF(A307="","",DATE(YEAR(A307),MONTH(A307),1))</f>
        <v/>
      </c>
    </row>
    <row r="308" customFormat="false" ht="14.25" hidden="false" customHeight="true" outlineLevel="0" collapsed="false">
      <c r="A308" s="23"/>
      <c r="B308" s="24"/>
      <c r="C308" s="24"/>
      <c r="D308" s="24"/>
      <c r="E308" s="24"/>
      <c r="F308" s="25" t="str">
        <f aca="false">IF(A308="","",SUM(B308:E308))</f>
        <v/>
      </c>
      <c r="G308" s="26" t="str">
        <f aca="false">IF(A308="","",B308*Premissas!$C$4+C308*Premissas!$C$7+D308*Premissas!$C$6+E308*Premissas!$C$5)</f>
        <v/>
      </c>
      <c r="H308" s="27" t="str">
        <f aca="false">IF(A308="","",DATE(YEAR(A308),MONTH(A308),1))</f>
        <v/>
      </c>
    </row>
    <row r="309" customFormat="false" ht="14.25" hidden="false" customHeight="true" outlineLevel="0" collapsed="false">
      <c r="A309" s="23"/>
      <c r="B309" s="24"/>
      <c r="C309" s="24"/>
      <c r="D309" s="24"/>
      <c r="E309" s="24"/>
      <c r="F309" s="25" t="str">
        <f aca="false">IF(A309="","",SUM(B309:E309))</f>
        <v/>
      </c>
      <c r="G309" s="26" t="str">
        <f aca="false">IF(A309="","",B309*Premissas!$C$4+C309*Premissas!$C$7+D309*Premissas!$C$6+E309*Premissas!$C$5)</f>
        <v/>
      </c>
      <c r="H309" s="27" t="str">
        <f aca="false">IF(A309="","",DATE(YEAR(A309),MONTH(A309),1))</f>
        <v/>
      </c>
    </row>
    <row r="310" customFormat="false" ht="14.25" hidden="false" customHeight="true" outlineLevel="0" collapsed="false">
      <c r="A310" s="23"/>
      <c r="B310" s="24"/>
      <c r="C310" s="24"/>
      <c r="D310" s="24"/>
      <c r="E310" s="24"/>
      <c r="F310" s="25" t="str">
        <f aca="false">IF(A310="","",SUM(B310:E310))</f>
        <v/>
      </c>
      <c r="G310" s="26" t="str">
        <f aca="false">IF(A310="","",B310*Premissas!$C$4+C310*Premissas!$C$7+D310*Premissas!$C$6+E310*Premissas!$C$5)</f>
        <v/>
      </c>
      <c r="H310" s="27" t="str">
        <f aca="false">IF(A310="","",DATE(YEAR(A310),MONTH(A310),1))</f>
        <v/>
      </c>
    </row>
    <row r="311" customFormat="false" ht="14.25" hidden="false" customHeight="true" outlineLevel="0" collapsed="false">
      <c r="A311" s="23"/>
      <c r="B311" s="24"/>
      <c r="C311" s="24"/>
      <c r="D311" s="24"/>
      <c r="E311" s="24"/>
      <c r="F311" s="25" t="str">
        <f aca="false">IF(A311="","",SUM(B311:E311))</f>
        <v/>
      </c>
      <c r="G311" s="26" t="str">
        <f aca="false">IF(A311="","",B311*Premissas!$C$4+C311*Premissas!$C$7+D311*Premissas!$C$6+E311*Premissas!$C$5)</f>
        <v/>
      </c>
      <c r="H311" s="27" t="str">
        <f aca="false">IF(A311="","",DATE(YEAR(A311),MONTH(A311),1))</f>
        <v/>
      </c>
    </row>
    <row r="312" customFormat="false" ht="14.25" hidden="false" customHeight="true" outlineLevel="0" collapsed="false">
      <c r="A312" s="23"/>
      <c r="B312" s="24"/>
      <c r="C312" s="24"/>
      <c r="D312" s="24"/>
      <c r="E312" s="24"/>
      <c r="F312" s="25" t="str">
        <f aca="false">IF(A312="","",SUM(B312:E312))</f>
        <v/>
      </c>
      <c r="G312" s="26" t="str">
        <f aca="false">IF(A312="","",B312*Premissas!$C$4+C312*Premissas!$C$7+D312*Premissas!$C$6+E312*Premissas!$C$5)</f>
        <v/>
      </c>
      <c r="H312" s="27" t="str">
        <f aca="false">IF(A312="","",DATE(YEAR(A312),MONTH(A312),1))</f>
        <v/>
      </c>
    </row>
    <row r="313" customFormat="false" ht="14.25" hidden="false" customHeight="true" outlineLevel="0" collapsed="false">
      <c r="A313" s="23"/>
      <c r="B313" s="24"/>
      <c r="C313" s="24"/>
      <c r="D313" s="24"/>
      <c r="E313" s="24"/>
      <c r="F313" s="25" t="str">
        <f aca="false">IF(A313="","",SUM(B313:E313))</f>
        <v/>
      </c>
      <c r="G313" s="26" t="str">
        <f aca="false">IF(A313="","",B313*Premissas!$C$4+C313*Premissas!$C$7+D313*Premissas!$C$6+E313*Premissas!$C$5)</f>
        <v/>
      </c>
      <c r="H313" s="27" t="str">
        <f aca="false">IF(A313="","",DATE(YEAR(A313),MONTH(A313),1))</f>
        <v/>
      </c>
    </row>
    <row r="314" customFormat="false" ht="14.25" hidden="false" customHeight="true" outlineLevel="0" collapsed="false">
      <c r="A314" s="23"/>
      <c r="B314" s="24"/>
      <c r="C314" s="24"/>
      <c r="D314" s="24"/>
      <c r="E314" s="24"/>
      <c r="F314" s="25" t="str">
        <f aca="false">IF(A314="","",SUM(B314:E314))</f>
        <v/>
      </c>
      <c r="G314" s="26" t="str">
        <f aca="false">IF(A314="","",B314*Premissas!$C$4+C314*Premissas!$C$7+D314*Premissas!$C$6+E314*Premissas!$C$5)</f>
        <v/>
      </c>
      <c r="H314" s="27" t="str">
        <f aca="false">IF(A314="","",DATE(YEAR(A314),MONTH(A314),1))</f>
        <v/>
      </c>
    </row>
    <row r="315" customFormat="false" ht="14.25" hidden="false" customHeight="true" outlineLevel="0" collapsed="false">
      <c r="A315" s="23"/>
      <c r="B315" s="24"/>
      <c r="C315" s="24"/>
      <c r="D315" s="24"/>
      <c r="E315" s="24"/>
      <c r="F315" s="25" t="str">
        <f aca="false">IF(A315="","",SUM(B315:E315))</f>
        <v/>
      </c>
      <c r="G315" s="26" t="str">
        <f aca="false">IF(A315="","",B315*Premissas!$C$4+C315*Premissas!$C$7+D315*Premissas!$C$6+E315*Premissas!$C$5)</f>
        <v/>
      </c>
      <c r="H315" s="27" t="str">
        <f aca="false">IF(A315="","",DATE(YEAR(A315),MONTH(A315),1))</f>
        <v/>
      </c>
    </row>
    <row r="316" customFormat="false" ht="14.25" hidden="false" customHeight="true" outlineLevel="0" collapsed="false">
      <c r="A316" s="23"/>
      <c r="B316" s="24"/>
      <c r="C316" s="24"/>
      <c r="D316" s="24"/>
      <c r="E316" s="24"/>
      <c r="F316" s="25" t="str">
        <f aca="false">IF(A316="","",SUM(B316:E316))</f>
        <v/>
      </c>
      <c r="G316" s="26" t="str">
        <f aca="false">IF(A316="","",B316*Premissas!$C$4+C316*Premissas!$C$7+D316*Premissas!$C$6+E316*Premissas!$C$5)</f>
        <v/>
      </c>
      <c r="H316" s="27" t="str">
        <f aca="false">IF(A316="","",DATE(YEAR(A316),MONTH(A316),1))</f>
        <v/>
      </c>
    </row>
    <row r="317" customFormat="false" ht="14.25" hidden="false" customHeight="true" outlineLevel="0" collapsed="false">
      <c r="A317" s="23"/>
      <c r="B317" s="24"/>
      <c r="C317" s="24"/>
      <c r="D317" s="24"/>
      <c r="E317" s="24"/>
      <c r="F317" s="25" t="str">
        <f aca="false">IF(A317="","",SUM(B317:E317))</f>
        <v/>
      </c>
      <c r="G317" s="26" t="str">
        <f aca="false">IF(A317="","",B317*Premissas!$C$4+C317*Premissas!$C$7+D317*Premissas!$C$6+E317*Premissas!$C$5)</f>
        <v/>
      </c>
      <c r="H317" s="27" t="str">
        <f aca="false">IF(A317="","",DATE(YEAR(A317),MONTH(A317),1))</f>
        <v/>
      </c>
    </row>
    <row r="318" customFormat="false" ht="14.25" hidden="false" customHeight="true" outlineLevel="0" collapsed="false">
      <c r="A318" s="23"/>
      <c r="B318" s="24"/>
      <c r="C318" s="24"/>
      <c r="D318" s="24"/>
      <c r="E318" s="24"/>
      <c r="F318" s="25" t="str">
        <f aca="false">IF(A318="","",SUM(B318:E318))</f>
        <v/>
      </c>
      <c r="G318" s="26" t="str">
        <f aca="false">IF(A318="","",B318*Premissas!$C$4+C318*Premissas!$C$7+D318*Premissas!$C$6+E318*Premissas!$C$5)</f>
        <v/>
      </c>
      <c r="H318" s="27" t="str">
        <f aca="false">IF(A318="","",DATE(YEAR(A318),MONTH(A318),1))</f>
        <v/>
      </c>
    </row>
    <row r="319" customFormat="false" ht="14.25" hidden="false" customHeight="true" outlineLevel="0" collapsed="false">
      <c r="A319" s="23"/>
      <c r="B319" s="24"/>
      <c r="C319" s="24"/>
      <c r="D319" s="24"/>
      <c r="E319" s="24"/>
      <c r="F319" s="25" t="str">
        <f aca="false">IF(A319="","",SUM(B319:E319))</f>
        <v/>
      </c>
      <c r="G319" s="26" t="str">
        <f aca="false">IF(A319="","",B319*Premissas!$C$4+C319*Premissas!$C$7+D319*Premissas!$C$6+E319*Premissas!$C$5)</f>
        <v/>
      </c>
      <c r="H319" s="27" t="str">
        <f aca="false">IF(A319="","",DATE(YEAR(A319),MONTH(A319),1))</f>
        <v/>
      </c>
    </row>
    <row r="320" customFormat="false" ht="14.25" hidden="false" customHeight="true" outlineLevel="0" collapsed="false">
      <c r="A320" s="23"/>
      <c r="B320" s="24"/>
      <c r="C320" s="24"/>
      <c r="D320" s="24"/>
      <c r="E320" s="24"/>
      <c r="F320" s="25" t="str">
        <f aca="false">IF(A320="","",SUM(B320:E320))</f>
        <v/>
      </c>
      <c r="G320" s="26" t="str">
        <f aca="false">IF(A320="","",B320*Premissas!$C$4+C320*Premissas!$C$7+D320*Premissas!$C$6+E320*Premissas!$C$5)</f>
        <v/>
      </c>
      <c r="H320" s="27" t="str">
        <f aca="false">IF(A320="","",DATE(YEAR(A320),MONTH(A320),1))</f>
        <v/>
      </c>
    </row>
    <row r="321" customFormat="false" ht="14.25" hidden="false" customHeight="true" outlineLevel="0" collapsed="false">
      <c r="A321" s="23"/>
      <c r="B321" s="24"/>
      <c r="C321" s="24"/>
      <c r="D321" s="24"/>
      <c r="E321" s="24"/>
      <c r="F321" s="25" t="str">
        <f aca="false">IF(A321="","",SUM(B321:E321))</f>
        <v/>
      </c>
      <c r="G321" s="26" t="str">
        <f aca="false">IF(A321="","",B321*Premissas!$C$4+C321*Premissas!$C$7+D321*Premissas!$C$6+E321*Premissas!$C$5)</f>
        <v/>
      </c>
      <c r="H321" s="27" t="str">
        <f aca="false">IF(A321="","",DATE(YEAR(A321),MONTH(A321),1))</f>
        <v/>
      </c>
    </row>
    <row r="322" customFormat="false" ht="14.25" hidden="false" customHeight="true" outlineLevel="0" collapsed="false">
      <c r="A322" s="23"/>
      <c r="B322" s="24"/>
      <c r="C322" s="24"/>
      <c r="D322" s="24"/>
      <c r="E322" s="24"/>
      <c r="F322" s="25" t="str">
        <f aca="false">IF(A322="","",SUM(B322:E322))</f>
        <v/>
      </c>
      <c r="G322" s="26" t="str">
        <f aca="false">IF(A322="","",B322*Premissas!$C$4+C322*Premissas!$C$7+D322*Premissas!$C$6+E322*Premissas!$C$5)</f>
        <v/>
      </c>
      <c r="H322" s="27" t="str">
        <f aca="false">IF(A322="","",DATE(YEAR(A322),MONTH(A322),1))</f>
        <v/>
      </c>
    </row>
    <row r="323" customFormat="false" ht="14.25" hidden="false" customHeight="true" outlineLevel="0" collapsed="false">
      <c r="A323" s="23"/>
      <c r="B323" s="24"/>
      <c r="C323" s="24"/>
      <c r="D323" s="24"/>
      <c r="E323" s="24"/>
      <c r="F323" s="25" t="str">
        <f aca="false">IF(A323="","",SUM(B323:E323))</f>
        <v/>
      </c>
      <c r="G323" s="26" t="str">
        <f aca="false">IF(A323="","",B323*Premissas!$C$4+C323*Premissas!$C$7+D323*Premissas!$C$6+E323*Premissas!$C$5)</f>
        <v/>
      </c>
      <c r="H323" s="27" t="str">
        <f aca="false">IF(A323="","",DATE(YEAR(A323),MONTH(A323),1))</f>
        <v/>
      </c>
    </row>
    <row r="324" customFormat="false" ht="14.25" hidden="false" customHeight="true" outlineLevel="0" collapsed="false">
      <c r="A324" s="23"/>
      <c r="B324" s="24"/>
      <c r="C324" s="24"/>
      <c r="D324" s="24"/>
      <c r="E324" s="24"/>
      <c r="F324" s="25" t="str">
        <f aca="false">IF(A324="","",SUM(B324:E324))</f>
        <v/>
      </c>
      <c r="G324" s="26" t="str">
        <f aca="false">IF(A324="","",B324*Premissas!$C$4+C324*Premissas!$C$7+D324*Premissas!$C$6+E324*Premissas!$C$5)</f>
        <v/>
      </c>
      <c r="H324" s="27" t="str">
        <f aca="false">IF(A324="","",DATE(YEAR(A324),MONTH(A324),1))</f>
        <v/>
      </c>
    </row>
    <row r="325" customFormat="false" ht="14.25" hidden="false" customHeight="true" outlineLevel="0" collapsed="false">
      <c r="A325" s="23"/>
      <c r="B325" s="24"/>
      <c r="C325" s="24"/>
      <c r="D325" s="24"/>
      <c r="E325" s="24"/>
      <c r="F325" s="25" t="str">
        <f aca="false">IF(A325="","",SUM(B325:E325))</f>
        <v/>
      </c>
      <c r="G325" s="26" t="str">
        <f aca="false">IF(A325="","",B325*Premissas!$C$4+C325*Premissas!$C$7+D325*Premissas!$C$6+E325*Premissas!$C$5)</f>
        <v/>
      </c>
      <c r="H325" s="27" t="str">
        <f aca="false">IF(A325="","",DATE(YEAR(A325),MONTH(A325),1))</f>
        <v/>
      </c>
    </row>
    <row r="326" customFormat="false" ht="14.25" hidden="false" customHeight="true" outlineLevel="0" collapsed="false">
      <c r="A326" s="23"/>
      <c r="B326" s="24"/>
      <c r="C326" s="24"/>
      <c r="D326" s="24"/>
      <c r="E326" s="24"/>
      <c r="F326" s="25" t="str">
        <f aca="false">IF(A326="","",SUM(B326:E326))</f>
        <v/>
      </c>
      <c r="G326" s="26" t="str">
        <f aca="false">IF(A326="","",B326*Premissas!$C$4+C326*Premissas!$C$7+D326*Premissas!$C$6+E326*Premissas!$C$5)</f>
        <v/>
      </c>
      <c r="H326" s="27" t="str">
        <f aca="false">IF(A326="","",DATE(YEAR(A326),MONTH(A326),1))</f>
        <v/>
      </c>
    </row>
    <row r="327" customFormat="false" ht="14.25" hidden="false" customHeight="true" outlineLevel="0" collapsed="false">
      <c r="A327" s="23"/>
      <c r="B327" s="24"/>
      <c r="C327" s="24"/>
      <c r="D327" s="24"/>
      <c r="E327" s="24"/>
      <c r="F327" s="25" t="str">
        <f aca="false">IF(A327="","",SUM(B327:E327))</f>
        <v/>
      </c>
      <c r="G327" s="26" t="str">
        <f aca="false">IF(A327="","",B327*Premissas!$C$4+C327*Premissas!$C$7+D327*Premissas!$C$6+E327*Premissas!$C$5)</f>
        <v/>
      </c>
      <c r="H327" s="27" t="str">
        <f aca="false">IF(A327="","",DATE(YEAR(A327),MONTH(A327),1))</f>
        <v/>
      </c>
    </row>
    <row r="328" customFormat="false" ht="14.25" hidden="false" customHeight="true" outlineLevel="0" collapsed="false">
      <c r="A328" s="23"/>
      <c r="B328" s="24"/>
      <c r="C328" s="24"/>
      <c r="D328" s="24"/>
      <c r="E328" s="24"/>
      <c r="F328" s="25" t="str">
        <f aca="false">IF(A328="","",SUM(B328:E328))</f>
        <v/>
      </c>
      <c r="G328" s="26" t="str">
        <f aca="false">IF(A328="","",B328*Premissas!$C$4+C328*Premissas!$C$7+D328*Premissas!$C$6+E328*Premissas!$C$5)</f>
        <v/>
      </c>
      <c r="H328" s="27" t="str">
        <f aca="false">IF(A328="","",DATE(YEAR(A328),MONTH(A328),1))</f>
        <v/>
      </c>
    </row>
    <row r="329" customFormat="false" ht="14.25" hidden="false" customHeight="true" outlineLevel="0" collapsed="false">
      <c r="A329" s="23"/>
      <c r="B329" s="24"/>
      <c r="C329" s="24"/>
      <c r="D329" s="24"/>
      <c r="E329" s="24"/>
      <c r="F329" s="25" t="str">
        <f aca="false">IF(A329="","",SUM(B329:E329))</f>
        <v/>
      </c>
      <c r="G329" s="26" t="str">
        <f aca="false">IF(A329="","",B329*Premissas!$C$4+C329*Premissas!$C$7+D329*Premissas!$C$6+E329*Premissas!$C$5)</f>
        <v/>
      </c>
      <c r="H329" s="27" t="str">
        <f aca="false">IF(A329="","",DATE(YEAR(A329),MONTH(A329),1))</f>
        <v/>
      </c>
    </row>
    <row r="330" customFormat="false" ht="14.25" hidden="false" customHeight="true" outlineLevel="0" collapsed="false">
      <c r="A330" s="23"/>
      <c r="B330" s="24"/>
      <c r="C330" s="24"/>
      <c r="D330" s="24"/>
      <c r="E330" s="24"/>
      <c r="F330" s="25" t="str">
        <f aca="false">IF(A330="","",SUM(B330:E330))</f>
        <v/>
      </c>
      <c r="G330" s="26" t="str">
        <f aca="false">IF(A330="","",B330*Premissas!$C$4+C330*Premissas!$C$7+D330*Premissas!$C$6+E330*Premissas!$C$5)</f>
        <v/>
      </c>
      <c r="H330" s="27" t="str">
        <f aca="false">IF(A330="","",DATE(YEAR(A330),MONTH(A330),1))</f>
        <v/>
      </c>
    </row>
    <row r="331" customFormat="false" ht="14.25" hidden="false" customHeight="true" outlineLevel="0" collapsed="false">
      <c r="A331" s="23"/>
      <c r="B331" s="24"/>
      <c r="C331" s="24"/>
      <c r="D331" s="24"/>
      <c r="E331" s="24"/>
      <c r="F331" s="25" t="str">
        <f aca="false">IF(A331="","",SUM(B331:E331))</f>
        <v/>
      </c>
      <c r="G331" s="26" t="str">
        <f aca="false">IF(A331="","",B331*Premissas!$C$4+C331*Premissas!$C$7+D331*Premissas!$C$6+E331*Premissas!$C$5)</f>
        <v/>
      </c>
      <c r="H331" s="27" t="str">
        <f aca="false">IF(A331="","",DATE(YEAR(A331),MONTH(A331),1))</f>
        <v/>
      </c>
    </row>
    <row r="332" customFormat="false" ht="14.25" hidden="false" customHeight="true" outlineLevel="0" collapsed="false">
      <c r="A332" s="23"/>
      <c r="B332" s="24"/>
      <c r="C332" s="24"/>
      <c r="D332" s="24"/>
      <c r="E332" s="24"/>
      <c r="F332" s="25" t="str">
        <f aca="false">IF(A332="","",SUM(B332:E332))</f>
        <v/>
      </c>
      <c r="G332" s="26" t="str">
        <f aca="false">IF(A332="","",B332*Premissas!$C$4+C332*Premissas!$C$7+D332*Premissas!$C$6+E332*Premissas!$C$5)</f>
        <v/>
      </c>
      <c r="H332" s="27" t="str">
        <f aca="false">IF(A332="","",DATE(YEAR(A332),MONTH(A332),1))</f>
        <v/>
      </c>
    </row>
    <row r="333" customFormat="false" ht="14.25" hidden="false" customHeight="true" outlineLevel="0" collapsed="false">
      <c r="A333" s="23"/>
      <c r="B333" s="24"/>
      <c r="C333" s="24"/>
      <c r="D333" s="24"/>
      <c r="E333" s="24"/>
      <c r="F333" s="25" t="str">
        <f aca="false">IF(A333="","",SUM(B333:E333))</f>
        <v/>
      </c>
      <c r="G333" s="26" t="str">
        <f aca="false">IF(A333="","",B333*Premissas!$C$4+C333*Premissas!$C$7+D333*Premissas!$C$6+E333*Premissas!$C$5)</f>
        <v/>
      </c>
      <c r="H333" s="27" t="str">
        <f aca="false">IF(A333="","",DATE(YEAR(A333),MONTH(A333),1))</f>
        <v/>
      </c>
    </row>
    <row r="334" customFormat="false" ht="14.25" hidden="false" customHeight="true" outlineLevel="0" collapsed="false">
      <c r="A334" s="23"/>
      <c r="B334" s="24"/>
      <c r="C334" s="24"/>
      <c r="D334" s="24"/>
      <c r="E334" s="24"/>
      <c r="F334" s="25" t="str">
        <f aca="false">IF(A334="","",SUM(B334:E334))</f>
        <v/>
      </c>
      <c r="G334" s="26" t="str">
        <f aca="false">IF(A334="","",B334*Premissas!$C$4+C334*Premissas!$C$7+D334*Premissas!$C$6+E334*Premissas!$C$5)</f>
        <v/>
      </c>
      <c r="H334" s="27" t="str">
        <f aca="false">IF(A334="","",DATE(YEAR(A334),MONTH(A334),1))</f>
        <v/>
      </c>
    </row>
    <row r="335" customFormat="false" ht="14.25" hidden="false" customHeight="true" outlineLevel="0" collapsed="false">
      <c r="A335" s="23"/>
      <c r="B335" s="24"/>
      <c r="C335" s="24"/>
      <c r="D335" s="24"/>
      <c r="E335" s="24"/>
      <c r="F335" s="25" t="str">
        <f aca="false">IF(A335="","",SUM(B335:E335))</f>
        <v/>
      </c>
      <c r="G335" s="26" t="str">
        <f aca="false">IF(A335="","",B335*Premissas!$C$4+C335*Premissas!$C$7+D335*Premissas!$C$6+E335*Premissas!$C$5)</f>
        <v/>
      </c>
      <c r="H335" s="27" t="str">
        <f aca="false">IF(A335="","",DATE(YEAR(A335),MONTH(A335),1))</f>
        <v/>
      </c>
    </row>
    <row r="336" customFormat="false" ht="14.25" hidden="false" customHeight="true" outlineLevel="0" collapsed="false">
      <c r="A336" s="23"/>
      <c r="B336" s="24"/>
      <c r="C336" s="24"/>
      <c r="D336" s="24"/>
      <c r="E336" s="24"/>
      <c r="F336" s="25" t="str">
        <f aca="false">IF(A336="","",SUM(B336:E336))</f>
        <v/>
      </c>
      <c r="G336" s="26" t="str">
        <f aca="false">IF(A336="","",B336*Premissas!$C$4+C336*Premissas!$C$7+D336*Premissas!$C$6+E336*Premissas!$C$5)</f>
        <v/>
      </c>
      <c r="H336" s="27" t="str">
        <f aca="false">IF(A336="","",DATE(YEAR(A336),MONTH(A336),1))</f>
        <v/>
      </c>
    </row>
    <row r="337" customFormat="false" ht="14.25" hidden="false" customHeight="true" outlineLevel="0" collapsed="false">
      <c r="A337" s="23"/>
      <c r="B337" s="24"/>
      <c r="C337" s="24"/>
      <c r="D337" s="24"/>
      <c r="E337" s="24"/>
      <c r="F337" s="25" t="str">
        <f aca="false">IF(A337="","",SUM(B337:E337))</f>
        <v/>
      </c>
      <c r="G337" s="26" t="str">
        <f aca="false">IF(A337="","",B337*Premissas!$C$4+C337*Premissas!$C$7+D337*Premissas!$C$6+E337*Premissas!$C$5)</f>
        <v/>
      </c>
      <c r="H337" s="27" t="str">
        <f aca="false">IF(A337="","",DATE(YEAR(A337),MONTH(A337),1))</f>
        <v/>
      </c>
    </row>
    <row r="338" customFormat="false" ht="14.25" hidden="false" customHeight="true" outlineLevel="0" collapsed="false">
      <c r="A338" s="23"/>
      <c r="B338" s="24"/>
      <c r="C338" s="24"/>
      <c r="D338" s="24"/>
      <c r="E338" s="24"/>
      <c r="F338" s="25" t="str">
        <f aca="false">IF(A338="","",SUM(B338:E338))</f>
        <v/>
      </c>
      <c r="G338" s="26" t="str">
        <f aca="false">IF(A338="","",B338*Premissas!$C$4+C338*Premissas!$C$7+D338*Premissas!$C$6+E338*Premissas!$C$5)</f>
        <v/>
      </c>
      <c r="H338" s="27" t="str">
        <f aca="false">IF(A338="","",DATE(YEAR(A338),MONTH(A338),1))</f>
        <v/>
      </c>
    </row>
    <row r="339" customFormat="false" ht="14.25" hidden="false" customHeight="true" outlineLevel="0" collapsed="false">
      <c r="A339" s="23"/>
      <c r="B339" s="24"/>
      <c r="C339" s="24"/>
      <c r="D339" s="24"/>
      <c r="E339" s="24"/>
      <c r="F339" s="25" t="str">
        <f aca="false">IF(A339="","",SUM(B339:E339))</f>
        <v/>
      </c>
      <c r="G339" s="26" t="str">
        <f aca="false">IF(A339="","",B339*Premissas!$C$4+C339*Premissas!$C$7+D339*Premissas!$C$6+E339*Premissas!$C$5)</f>
        <v/>
      </c>
      <c r="H339" s="27" t="str">
        <f aca="false">IF(A339="","",DATE(YEAR(A339),MONTH(A339),1))</f>
        <v/>
      </c>
    </row>
    <row r="340" customFormat="false" ht="14.25" hidden="false" customHeight="true" outlineLevel="0" collapsed="false">
      <c r="A340" s="23"/>
      <c r="B340" s="24"/>
      <c r="C340" s="24"/>
      <c r="D340" s="24"/>
      <c r="E340" s="24"/>
      <c r="F340" s="25" t="str">
        <f aca="false">IF(A340="","",SUM(B340:E340))</f>
        <v/>
      </c>
      <c r="G340" s="26" t="str">
        <f aca="false">IF(A340="","",B340*Premissas!$C$4+C340*Premissas!$C$7+D340*Premissas!$C$6+E340*Premissas!$C$5)</f>
        <v/>
      </c>
      <c r="H340" s="27" t="str">
        <f aca="false">IF(A340="","",DATE(YEAR(A340),MONTH(A340),1))</f>
        <v/>
      </c>
    </row>
    <row r="341" customFormat="false" ht="14.25" hidden="false" customHeight="true" outlineLevel="0" collapsed="false">
      <c r="A341" s="23"/>
      <c r="B341" s="24"/>
      <c r="C341" s="24"/>
      <c r="D341" s="24"/>
      <c r="E341" s="24"/>
      <c r="F341" s="25" t="str">
        <f aca="false">IF(A341="","",SUM(B341:E341))</f>
        <v/>
      </c>
      <c r="G341" s="26" t="str">
        <f aca="false">IF(A341="","",B341*Premissas!$C$4+C341*Premissas!$C$7+D341*Premissas!$C$6+E341*Premissas!$C$5)</f>
        <v/>
      </c>
      <c r="H341" s="27" t="str">
        <f aca="false">IF(A341="","",DATE(YEAR(A341),MONTH(A341),1))</f>
        <v/>
      </c>
    </row>
    <row r="342" customFormat="false" ht="14.25" hidden="false" customHeight="true" outlineLevel="0" collapsed="false">
      <c r="A342" s="23"/>
      <c r="B342" s="24"/>
      <c r="C342" s="24"/>
      <c r="D342" s="24"/>
      <c r="E342" s="24"/>
      <c r="F342" s="25" t="str">
        <f aca="false">IF(A342="","",SUM(B342:E342))</f>
        <v/>
      </c>
      <c r="G342" s="26" t="str">
        <f aca="false">IF(A342="","",B342*Premissas!$C$4+C342*Premissas!$C$7+D342*Premissas!$C$6+E342*Premissas!$C$5)</f>
        <v/>
      </c>
      <c r="H342" s="27" t="str">
        <f aca="false">IF(A342="","",DATE(YEAR(A342),MONTH(A342),1))</f>
        <v/>
      </c>
    </row>
    <row r="343" customFormat="false" ht="14.25" hidden="false" customHeight="true" outlineLevel="0" collapsed="false">
      <c r="A343" s="23"/>
      <c r="B343" s="24"/>
      <c r="C343" s="24"/>
      <c r="D343" s="24"/>
      <c r="E343" s="24"/>
      <c r="F343" s="25" t="str">
        <f aca="false">IF(A343="","",SUM(B343:E343))</f>
        <v/>
      </c>
      <c r="G343" s="26" t="str">
        <f aca="false">IF(A343="","",B343*Premissas!$C$4+C343*Premissas!$C$7+D343*Premissas!$C$6+E343*Premissas!$C$5)</f>
        <v/>
      </c>
      <c r="H343" s="27" t="str">
        <f aca="false">IF(A343="","",DATE(YEAR(A343),MONTH(A343),1))</f>
        <v/>
      </c>
    </row>
    <row r="344" customFormat="false" ht="14.25" hidden="false" customHeight="true" outlineLevel="0" collapsed="false">
      <c r="A344" s="23"/>
      <c r="B344" s="24"/>
      <c r="C344" s="24"/>
      <c r="D344" s="24"/>
      <c r="E344" s="24"/>
      <c r="F344" s="25" t="str">
        <f aca="false">IF(A344="","",SUM(B344:E344))</f>
        <v/>
      </c>
      <c r="G344" s="26" t="str">
        <f aca="false">IF(A344="","",B344*Premissas!$C$4+C344*Premissas!$C$7+D344*Premissas!$C$6+E344*Premissas!$C$5)</f>
        <v/>
      </c>
      <c r="H344" s="27" t="str">
        <f aca="false">IF(A344="","",DATE(YEAR(A344),MONTH(A344),1))</f>
        <v/>
      </c>
    </row>
    <row r="345" customFormat="false" ht="14.25" hidden="false" customHeight="true" outlineLevel="0" collapsed="false">
      <c r="A345" s="23"/>
      <c r="B345" s="24"/>
      <c r="C345" s="24"/>
      <c r="D345" s="24"/>
      <c r="E345" s="24"/>
      <c r="F345" s="25" t="str">
        <f aca="false">IF(A345="","",SUM(B345:E345))</f>
        <v/>
      </c>
      <c r="G345" s="26" t="str">
        <f aca="false">IF(A345="","",B345*Premissas!$C$4+C345*Premissas!$C$7+D345*Premissas!$C$6+E345*Premissas!$C$5)</f>
        <v/>
      </c>
      <c r="H345" s="27" t="str">
        <f aca="false">IF(A345="","",DATE(YEAR(A345),MONTH(A345),1))</f>
        <v/>
      </c>
    </row>
    <row r="346" customFormat="false" ht="14.25" hidden="false" customHeight="true" outlineLevel="0" collapsed="false">
      <c r="A346" s="23"/>
      <c r="B346" s="24"/>
      <c r="C346" s="24"/>
      <c r="D346" s="24"/>
      <c r="E346" s="24"/>
      <c r="F346" s="25" t="str">
        <f aca="false">IF(A346="","",SUM(B346:E346))</f>
        <v/>
      </c>
      <c r="G346" s="26" t="str">
        <f aca="false">IF(A346="","",B346*Premissas!$C$4+C346*Premissas!$C$7+D346*Premissas!$C$6+E346*Premissas!$C$5)</f>
        <v/>
      </c>
      <c r="H346" s="27" t="str">
        <f aca="false">IF(A346="","",DATE(YEAR(A346),MONTH(A346),1))</f>
        <v/>
      </c>
    </row>
    <row r="347" customFormat="false" ht="14.25" hidden="false" customHeight="true" outlineLevel="0" collapsed="false">
      <c r="A347" s="23"/>
      <c r="B347" s="24"/>
      <c r="C347" s="24"/>
      <c r="D347" s="24"/>
      <c r="E347" s="24"/>
      <c r="F347" s="25" t="str">
        <f aca="false">IF(A347="","",SUM(B347:E347))</f>
        <v/>
      </c>
      <c r="G347" s="26" t="str">
        <f aca="false">IF(A347="","",B347*Premissas!$C$4+C347*Premissas!$C$7+D347*Premissas!$C$6+E347*Premissas!$C$5)</f>
        <v/>
      </c>
      <c r="H347" s="27" t="str">
        <f aca="false">IF(A347="","",DATE(YEAR(A347),MONTH(A347),1))</f>
        <v/>
      </c>
    </row>
    <row r="348" customFormat="false" ht="14.25" hidden="false" customHeight="true" outlineLevel="0" collapsed="false">
      <c r="A348" s="23"/>
      <c r="B348" s="24"/>
      <c r="C348" s="24"/>
      <c r="D348" s="24"/>
      <c r="E348" s="24"/>
      <c r="F348" s="25" t="str">
        <f aca="false">IF(A348="","",SUM(B348:E348))</f>
        <v/>
      </c>
      <c r="G348" s="26" t="str">
        <f aca="false">IF(A348="","",B348*Premissas!$C$4+C348*Premissas!$C$7+D348*Premissas!$C$6+E348*Premissas!$C$5)</f>
        <v/>
      </c>
      <c r="H348" s="27" t="str">
        <f aca="false">IF(A348="","",DATE(YEAR(A348),MONTH(A348),1))</f>
        <v/>
      </c>
    </row>
    <row r="349" customFormat="false" ht="14.25" hidden="false" customHeight="true" outlineLevel="0" collapsed="false">
      <c r="A349" s="23"/>
      <c r="B349" s="24"/>
      <c r="C349" s="24"/>
      <c r="D349" s="24"/>
      <c r="E349" s="24"/>
      <c r="F349" s="25" t="str">
        <f aca="false">IF(A349="","",SUM(B349:E349))</f>
        <v/>
      </c>
      <c r="G349" s="26" t="str">
        <f aca="false">IF(A349="","",B349*Premissas!$C$4+C349*Premissas!$C$7+D349*Premissas!$C$6+E349*Premissas!$C$5)</f>
        <v/>
      </c>
      <c r="H349" s="27" t="str">
        <f aca="false">IF(A349="","",DATE(YEAR(A349),MONTH(A349),1))</f>
        <v/>
      </c>
    </row>
    <row r="350" customFormat="false" ht="14.25" hidden="false" customHeight="true" outlineLevel="0" collapsed="false">
      <c r="A350" s="23"/>
      <c r="B350" s="24"/>
      <c r="C350" s="24"/>
      <c r="D350" s="24"/>
      <c r="E350" s="24"/>
      <c r="F350" s="25" t="str">
        <f aca="false">IF(A350="","",SUM(B350:E350))</f>
        <v/>
      </c>
      <c r="G350" s="26" t="str">
        <f aca="false">IF(A350="","",B350*Premissas!$C$4+C350*Premissas!$C$7+D350*Premissas!$C$6+E350*Premissas!$C$5)</f>
        <v/>
      </c>
      <c r="H350" s="27" t="str">
        <f aca="false">IF(A350="","",DATE(YEAR(A350),MONTH(A350),1))</f>
        <v/>
      </c>
    </row>
    <row r="351" customFormat="false" ht="14.25" hidden="false" customHeight="true" outlineLevel="0" collapsed="false">
      <c r="A351" s="23"/>
      <c r="B351" s="24"/>
      <c r="C351" s="24"/>
      <c r="D351" s="24"/>
      <c r="E351" s="24"/>
      <c r="F351" s="25" t="str">
        <f aca="false">IF(A351="","",SUM(B351:E351))</f>
        <v/>
      </c>
      <c r="G351" s="26" t="str">
        <f aca="false">IF(A351="","",B351*Premissas!$C$4+C351*Premissas!$C$7+D351*Premissas!$C$6+E351*Premissas!$C$5)</f>
        <v/>
      </c>
      <c r="H351" s="27" t="str">
        <f aca="false">IF(A351="","",DATE(YEAR(A351),MONTH(A351),1))</f>
        <v/>
      </c>
    </row>
    <row r="352" customFormat="false" ht="14.25" hidden="false" customHeight="true" outlineLevel="0" collapsed="false">
      <c r="A352" s="23"/>
      <c r="B352" s="24"/>
      <c r="C352" s="24"/>
      <c r="D352" s="24"/>
      <c r="E352" s="24"/>
      <c r="F352" s="25" t="str">
        <f aca="false">IF(A352="","",SUM(B352:E352))</f>
        <v/>
      </c>
      <c r="G352" s="26" t="str">
        <f aca="false">IF(A352="","",B352*Premissas!$C$4+C352*Premissas!$C$7+D352*Premissas!$C$6+E352*Premissas!$C$5)</f>
        <v/>
      </c>
      <c r="H352" s="27" t="str">
        <f aca="false">IF(A352="","",DATE(YEAR(A352),MONTH(A352),1))</f>
        <v/>
      </c>
    </row>
    <row r="353" customFormat="false" ht="14.25" hidden="false" customHeight="true" outlineLevel="0" collapsed="false">
      <c r="A353" s="23"/>
      <c r="B353" s="24"/>
      <c r="C353" s="24"/>
      <c r="D353" s="24"/>
      <c r="E353" s="24"/>
      <c r="F353" s="25" t="str">
        <f aca="false">IF(A353="","",SUM(B353:E353))</f>
        <v/>
      </c>
      <c r="G353" s="26" t="str">
        <f aca="false">IF(A353="","",B353*Premissas!$C$4+C353*Premissas!$C$7+D353*Premissas!$C$6+E353*Premissas!$C$5)</f>
        <v/>
      </c>
      <c r="H353" s="27" t="str">
        <f aca="false">IF(A353="","",DATE(YEAR(A353),MONTH(A353),1))</f>
        <v/>
      </c>
    </row>
    <row r="354" customFormat="false" ht="14.25" hidden="false" customHeight="true" outlineLevel="0" collapsed="false">
      <c r="A354" s="23"/>
      <c r="B354" s="24"/>
      <c r="C354" s="24"/>
      <c r="D354" s="24"/>
      <c r="E354" s="24"/>
      <c r="F354" s="25" t="str">
        <f aca="false">IF(A354="","",SUM(B354:E354))</f>
        <v/>
      </c>
      <c r="G354" s="26" t="str">
        <f aca="false">IF(A354="","",B354*Premissas!$C$4+C354*Premissas!$C$7+D354*Premissas!$C$6+E354*Premissas!$C$5)</f>
        <v/>
      </c>
      <c r="H354" s="27" t="str">
        <f aca="false">IF(A354="","",DATE(YEAR(A354),MONTH(A354),1))</f>
        <v/>
      </c>
    </row>
    <row r="355" customFormat="false" ht="14.25" hidden="false" customHeight="true" outlineLevel="0" collapsed="false">
      <c r="A355" s="23"/>
      <c r="B355" s="24"/>
      <c r="C355" s="24"/>
      <c r="D355" s="24"/>
      <c r="E355" s="24"/>
      <c r="F355" s="25" t="str">
        <f aca="false">IF(A355="","",SUM(B355:E355))</f>
        <v/>
      </c>
      <c r="G355" s="26" t="str">
        <f aca="false">IF(A355="","",B355*Premissas!$C$4+C355*Premissas!$C$7+D355*Premissas!$C$6+E355*Premissas!$C$5)</f>
        <v/>
      </c>
      <c r="H355" s="27" t="str">
        <f aca="false">IF(A355="","",DATE(YEAR(A355),MONTH(A355),1))</f>
        <v/>
      </c>
    </row>
    <row r="356" customFormat="false" ht="14.25" hidden="false" customHeight="true" outlineLevel="0" collapsed="false">
      <c r="A356" s="23"/>
      <c r="B356" s="24"/>
      <c r="C356" s="24"/>
      <c r="D356" s="24"/>
      <c r="E356" s="24"/>
      <c r="F356" s="25" t="str">
        <f aca="false">IF(A356="","",SUM(B356:E356))</f>
        <v/>
      </c>
      <c r="G356" s="26" t="str">
        <f aca="false">IF(A356="","",B356*Premissas!$C$4+C356*Premissas!$C$7+D356*Premissas!$C$6+E356*Premissas!$C$5)</f>
        <v/>
      </c>
      <c r="H356" s="27" t="str">
        <f aca="false">IF(A356="","",DATE(YEAR(A356),MONTH(A356),1))</f>
        <v/>
      </c>
    </row>
    <row r="357" customFormat="false" ht="14.25" hidden="false" customHeight="true" outlineLevel="0" collapsed="false">
      <c r="A357" s="23"/>
      <c r="B357" s="24"/>
      <c r="C357" s="24"/>
      <c r="D357" s="24"/>
      <c r="E357" s="24"/>
      <c r="F357" s="25" t="str">
        <f aca="false">IF(A357="","",SUM(B357:E357))</f>
        <v/>
      </c>
      <c r="G357" s="26" t="str">
        <f aca="false">IF(A357="","",B357*Premissas!$C$4+C357*Premissas!$C$7+D357*Premissas!$C$6+E357*Premissas!$C$5)</f>
        <v/>
      </c>
      <c r="H357" s="27" t="str">
        <f aca="false">IF(A357="","",DATE(YEAR(A357),MONTH(A357),1))</f>
        <v/>
      </c>
    </row>
    <row r="358" customFormat="false" ht="14.25" hidden="false" customHeight="true" outlineLevel="0" collapsed="false">
      <c r="A358" s="23"/>
      <c r="B358" s="24"/>
      <c r="C358" s="24"/>
      <c r="D358" s="24"/>
      <c r="E358" s="24"/>
      <c r="F358" s="25" t="str">
        <f aca="false">IF(A358="","",SUM(B358:E358))</f>
        <v/>
      </c>
      <c r="G358" s="26" t="str">
        <f aca="false">IF(A358="","",B358*Premissas!$C$4+C358*Premissas!$C$7+D358*Premissas!$C$6+E358*Premissas!$C$5)</f>
        <v/>
      </c>
      <c r="H358" s="27" t="str">
        <f aca="false">IF(A358="","",DATE(YEAR(A358),MONTH(A358),1))</f>
        <v/>
      </c>
    </row>
    <row r="359" customFormat="false" ht="14.25" hidden="false" customHeight="true" outlineLevel="0" collapsed="false">
      <c r="A359" s="23"/>
      <c r="B359" s="24"/>
      <c r="C359" s="24"/>
      <c r="D359" s="24"/>
      <c r="E359" s="24"/>
      <c r="F359" s="25" t="str">
        <f aca="false">IF(A359="","",SUM(B359:E359))</f>
        <v/>
      </c>
      <c r="G359" s="26" t="str">
        <f aca="false">IF(A359="","",B359*Premissas!$C$4+C359*Premissas!$C$7+D359*Premissas!$C$6+E359*Premissas!$C$5)</f>
        <v/>
      </c>
      <c r="H359" s="27" t="str">
        <f aca="false">IF(A359="","",DATE(YEAR(A359),MONTH(A359),1))</f>
        <v/>
      </c>
    </row>
    <row r="360" customFormat="false" ht="14.25" hidden="false" customHeight="true" outlineLevel="0" collapsed="false">
      <c r="A360" s="23"/>
      <c r="B360" s="24"/>
      <c r="C360" s="24"/>
      <c r="D360" s="24"/>
      <c r="E360" s="24"/>
      <c r="F360" s="25" t="str">
        <f aca="false">IF(A360="","",SUM(B360:E360))</f>
        <v/>
      </c>
      <c r="G360" s="26" t="str">
        <f aca="false">IF(A360="","",B360*Premissas!$C$4+C360*Premissas!$C$7+D360*Premissas!$C$6+E360*Premissas!$C$5)</f>
        <v/>
      </c>
      <c r="H360" s="27" t="str">
        <f aca="false">IF(A360="","",DATE(YEAR(A360),MONTH(A360),1))</f>
        <v/>
      </c>
    </row>
    <row r="361" customFormat="false" ht="14.25" hidden="false" customHeight="true" outlineLevel="0" collapsed="false">
      <c r="A361" s="23"/>
      <c r="B361" s="24"/>
      <c r="C361" s="24"/>
      <c r="D361" s="24"/>
      <c r="E361" s="24"/>
      <c r="F361" s="25" t="str">
        <f aca="false">IF(A361="","",SUM(B361:E361))</f>
        <v/>
      </c>
      <c r="G361" s="26" t="str">
        <f aca="false">IF(A361="","",B361*Premissas!$C$4+C361*Premissas!$C$7+D361*Premissas!$C$6+E361*Premissas!$C$5)</f>
        <v/>
      </c>
      <c r="H361" s="27" t="str">
        <f aca="false">IF(A361="","",DATE(YEAR(A361),MONTH(A361),1))</f>
        <v/>
      </c>
    </row>
    <row r="362" customFormat="false" ht="14.25" hidden="false" customHeight="true" outlineLevel="0" collapsed="false">
      <c r="A362" s="23"/>
      <c r="B362" s="24"/>
      <c r="C362" s="24"/>
      <c r="D362" s="24"/>
      <c r="E362" s="24"/>
      <c r="F362" s="25" t="str">
        <f aca="false">IF(A362="","",SUM(B362:E362))</f>
        <v/>
      </c>
      <c r="G362" s="26" t="str">
        <f aca="false">IF(A362="","",B362*Premissas!$C$4+C362*Premissas!$C$7+D362*Premissas!$C$6+E362*Premissas!$C$5)</f>
        <v/>
      </c>
      <c r="H362" s="27" t="str">
        <f aca="false">IF(A362="","",DATE(YEAR(A362),MONTH(A362),1))</f>
        <v/>
      </c>
    </row>
    <row r="363" customFormat="false" ht="14.25" hidden="false" customHeight="true" outlineLevel="0" collapsed="false">
      <c r="A363" s="23"/>
      <c r="B363" s="24"/>
      <c r="C363" s="24"/>
      <c r="D363" s="24"/>
      <c r="E363" s="24"/>
      <c r="F363" s="25" t="str">
        <f aca="false">IF(A363="","",SUM(B363:E363))</f>
        <v/>
      </c>
      <c r="G363" s="26" t="str">
        <f aca="false">IF(A363="","",B363*Premissas!$C$4+C363*Premissas!$C$7+D363*Premissas!$C$6+E363*Premissas!$C$5)</f>
        <v/>
      </c>
      <c r="H363" s="27" t="str">
        <f aca="false">IF(A363="","",DATE(YEAR(A363),MONTH(A363),1))</f>
        <v/>
      </c>
    </row>
    <row r="364" customFormat="false" ht="14.25" hidden="false" customHeight="true" outlineLevel="0" collapsed="false">
      <c r="A364" s="23"/>
      <c r="B364" s="24"/>
      <c r="C364" s="24"/>
      <c r="D364" s="24"/>
      <c r="E364" s="24"/>
      <c r="F364" s="25" t="str">
        <f aca="false">IF(A364="","",SUM(B364:E364))</f>
        <v/>
      </c>
      <c r="G364" s="26" t="str">
        <f aca="false">IF(A364="","",B364*Premissas!$C$4+C364*Premissas!$C$7+D364*Premissas!$C$6+E364*Premissas!$C$5)</f>
        <v/>
      </c>
      <c r="H364" s="27" t="str">
        <f aca="false">IF(A364="","",DATE(YEAR(A364),MONTH(A364),1))</f>
        <v/>
      </c>
    </row>
    <row r="365" customFormat="false" ht="14.25" hidden="false" customHeight="true" outlineLevel="0" collapsed="false">
      <c r="A365" s="23"/>
      <c r="B365" s="24"/>
      <c r="C365" s="24"/>
      <c r="D365" s="24"/>
      <c r="E365" s="24"/>
      <c r="F365" s="25" t="str">
        <f aca="false">IF(A365="","",SUM(B365:E365))</f>
        <v/>
      </c>
      <c r="G365" s="26" t="str">
        <f aca="false">IF(A365="","",B365*Premissas!$C$4+C365*Premissas!$C$7+D365*Premissas!$C$6+E365*Premissas!$C$5)</f>
        <v/>
      </c>
      <c r="H365" s="27" t="str">
        <f aca="false">IF(A365="","",DATE(YEAR(A365),MONTH(A365),1))</f>
        <v/>
      </c>
    </row>
    <row r="366" customFormat="false" ht="14.25" hidden="false" customHeight="true" outlineLevel="0" collapsed="false">
      <c r="A366" s="23"/>
      <c r="B366" s="24"/>
      <c r="C366" s="24"/>
      <c r="D366" s="24"/>
      <c r="E366" s="24"/>
      <c r="F366" s="25" t="str">
        <f aca="false">IF(A366="","",SUM(B366:E366))</f>
        <v/>
      </c>
      <c r="G366" s="26" t="str">
        <f aca="false">IF(A366="","",B366*Premissas!$C$4+C366*Premissas!$C$7+D366*Premissas!$C$6+E366*Premissas!$C$5)</f>
        <v/>
      </c>
      <c r="H366" s="27" t="str">
        <f aca="false">IF(A366="","",DATE(YEAR(A366),MONTH(A366),1))</f>
        <v/>
      </c>
    </row>
    <row r="367" customFormat="false" ht="14.25" hidden="false" customHeight="true" outlineLevel="0" collapsed="false">
      <c r="A367" s="23"/>
      <c r="B367" s="24"/>
      <c r="C367" s="24"/>
      <c r="D367" s="24"/>
      <c r="E367" s="24"/>
      <c r="F367" s="25" t="str">
        <f aca="false">IF(A367="","",SUM(B367:E367))</f>
        <v/>
      </c>
      <c r="G367" s="26" t="str">
        <f aca="false">IF(A367="","",B367*Premissas!$C$4+C367*Premissas!$C$7+D367*Premissas!$C$6+E367*Premissas!$C$5)</f>
        <v/>
      </c>
      <c r="H367" s="27" t="str">
        <f aca="false">IF(A367="","",DATE(YEAR(A367),MONTH(A367),1))</f>
        <v/>
      </c>
    </row>
    <row r="368" customFormat="false" ht="14.25" hidden="false" customHeight="true" outlineLevel="0" collapsed="false">
      <c r="A368" s="23"/>
      <c r="B368" s="24"/>
      <c r="C368" s="24"/>
      <c r="D368" s="24"/>
      <c r="E368" s="24"/>
      <c r="F368" s="25" t="str">
        <f aca="false">IF(A368="","",SUM(B368:E368))</f>
        <v/>
      </c>
      <c r="G368" s="26" t="str">
        <f aca="false">IF(A368="","",B368*Premissas!$C$4+C368*Premissas!$C$7+D368*Premissas!$C$6+E368*Premissas!$C$5)</f>
        <v/>
      </c>
      <c r="H368" s="27" t="str">
        <f aca="false">IF(A368="","",DATE(YEAR(A368),MONTH(A368),1))</f>
        <v/>
      </c>
    </row>
    <row r="369" customFormat="false" ht="14.25" hidden="false" customHeight="true" outlineLevel="0" collapsed="false">
      <c r="A369" s="23"/>
      <c r="B369" s="24"/>
      <c r="C369" s="24"/>
      <c r="D369" s="24"/>
      <c r="E369" s="24"/>
      <c r="F369" s="25" t="str">
        <f aca="false">IF(A369="","",SUM(B369:E369))</f>
        <v/>
      </c>
      <c r="G369" s="26" t="str">
        <f aca="false">IF(A369="","",B369*Premissas!$C$4+C369*Premissas!$C$7+D369*Premissas!$C$6+E369*Premissas!$C$5)</f>
        <v/>
      </c>
      <c r="H369" s="27" t="str">
        <f aca="false">IF(A369="","",DATE(YEAR(A369),MONTH(A369),1))</f>
        <v/>
      </c>
    </row>
    <row r="370" customFormat="false" ht="14.25" hidden="false" customHeight="true" outlineLevel="0" collapsed="false">
      <c r="A370" s="23"/>
      <c r="B370" s="24"/>
      <c r="C370" s="24"/>
      <c r="D370" s="24"/>
      <c r="E370" s="24"/>
      <c r="F370" s="25" t="str">
        <f aca="false">IF(A370="","",SUM(B370:E370))</f>
        <v/>
      </c>
      <c r="G370" s="26" t="str">
        <f aca="false">IF(A370="","",B370*Premissas!$C$4+C370*Premissas!$C$7+D370*Premissas!$C$6+E370*Premissas!$C$5)</f>
        <v/>
      </c>
      <c r="H370" s="27" t="str">
        <f aca="false">IF(A370="","",DATE(YEAR(A370),MONTH(A370),1))</f>
        <v/>
      </c>
    </row>
    <row r="371" customFormat="false" ht="14.25" hidden="false" customHeight="true" outlineLevel="0" collapsed="false">
      <c r="A371" s="23"/>
      <c r="B371" s="24"/>
      <c r="C371" s="24"/>
      <c r="D371" s="24"/>
      <c r="E371" s="24"/>
      <c r="F371" s="25" t="str">
        <f aca="false">IF(A371="","",SUM(B371:E371))</f>
        <v/>
      </c>
      <c r="G371" s="26" t="str">
        <f aca="false">IF(A371="","",B371*Premissas!$C$4+C371*Premissas!$C$7+D371*Premissas!$C$6+E371*Premissas!$C$5)</f>
        <v/>
      </c>
      <c r="H371" s="27" t="str">
        <f aca="false">IF(A371="","",DATE(YEAR(A371),MONTH(A371),1))</f>
        <v/>
      </c>
    </row>
    <row r="372" customFormat="false" ht="14.25" hidden="false" customHeight="true" outlineLevel="0" collapsed="false">
      <c r="A372" s="23"/>
      <c r="B372" s="24"/>
      <c r="C372" s="24"/>
      <c r="D372" s="24"/>
      <c r="E372" s="24"/>
      <c r="F372" s="25" t="str">
        <f aca="false">IF(A372="","",SUM(B372:E372))</f>
        <v/>
      </c>
      <c r="G372" s="26" t="str">
        <f aca="false">IF(A372="","",B372*Premissas!$C$4+C372*Premissas!$C$7+D372*Premissas!$C$6+E372*Premissas!$C$5)</f>
        <v/>
      </c>
      <c r="H372" s="27" t="str">
        <f aca="false">IF(A372="","",DATE(YEAR(A372),MONTH(A372),1))</f>
        <v/>
      </c>
    </row>
    <row r="373" customFormat="false" ht="14.25" hidden="false" customHeight="true" outlineLevel="0" collapsed="false">
      <c r="A373" s="23"/>
      <c r="B373" s="24"/>
      <c r="C373" s="24"/>
      <c r="D373" s="24"/>
      <c r="E373" s="24"/>
      <c r="F373" s="25" t="str">
        <f aca="false">IF(A373="","",SUM(B373:E373))</f>
        <v/>
      </c>
      <c r="G373" s="26" t="str">
        <f aca="false">IF(A373="","",B373*Premissas!$C$4+C373*Premissas!$C$7+D373*Premissas!$C$6+E373*Premissas!$C$5)</f>
        <v/>
      </c>
      <c r="H373" s="27" t="str">
        <f aca="false">IF(A373="","",DATE(YEAR(A373),MONTH(A373),1))</f>
        <v/>
      </c>
    </row>
    <row r="374" customFormat="false" ht="14.25" hidden="false" customHeight="true" outlineLevel="0" collapsed="false">
      <c r="A374" s="23"/>
      <c r="B374" s="24"/>
      <c r="C374" s="24"/>
      <c r="D374" s="24"/>
      <c r="E374" s="24"/>
      <c r="F374" s="25" t="str">
        <f aca="false">IF(A374="","",SUM(B374:E374))</f>
        <v/>
      </c>
      <c r="G374" s="26" t="str">
        <f aca="false">IF(A374="","",B374*Premissas!$C$4+C374*Premissas!$C$7+D374*Premissas!$C$6+E374*Premissas!$C$5)</f>
        <v/>
      </c>
      <c r="H374" s="27" t="str">
        <f aca="false">IF(A374="","",DATE(YEAR(A374),MONTH(A374),1))</f>
        <v/>
      </c>
    </row>
    <row r="375" customFormat="false" ht="14.25" hidden="false" customHeight="true" outlineLevel="0" collapsed="false">
      <c r="A375" s="23"/>
      <c r="B375" s="24"/>
      <c r="C375" s="24"/>
      <c r="D375" s="24"/>
      <c r="E375" s="24"/>
      <c r="F375" s="25" t="str">
        <f aca="false">IF(A375="","",SUM(B375:E375))</f>
        <v/>
      </c>
      <c r="G375" s="26" t="str">
        <f aca="false">IF(A375="","",B375*Premissas!$C$4+C375*Premissas!$C$7+D375*Premissas!$C$6+E375*Premissas!$C$5)</f>
        <v/>
      </c>
      <c r="H375" s="27" t="str">
        <f aca="false">IF(A375="","",DATE(YEAR(A375),MONTH(A375),1))</f>
        <v/>
      </c>
    </row>
    <row r="376" customFormat="false" ht="14.25" hidden="false" customHeight="true" outlineLevel="0" collapsed="false">
      <c r="A376" s="23"/>
      <c r="B376" s="24"/>
      <c r="C376" s="24"/>
      <c r="D376" s="24"/>
      <c r="E376" s="24"/>
      <c r="F376" s="25" t="str">
        <f aca="false">IF(A376="","",SUM(B376:E376))</f>
        <v/>
      </c>
      <c r="G376" s="26" t="str">
        <f aca="false">IF(A376="","",B376*Premissas!$C$4+C376*Premissas!$C$7+D376*Premissas!$C$6+E376*Premissas!$C$5)</f>
        <v/>
      </c>
      <c r="H376" s="27" t="str">
        <f aca="false">IF(A376="","",DATE(YEAR(A376),MONTH(A376),1))</f>
        <v/>
      </c>
    </row>
    <row r="377" customFormat="false" ht="14.25" hidden="false" customHeight="true" outlineLevel="0" collapsed="false">
      <c r="A377" s="23"/>
      <c r="B377" s="24"/>
      <c r="C377" s="24"/>
      <c r="D377" s="24"/>
      <c r="E377" s="24"/>
      <c r="F377" s="25" t="str">
        <f aca="false">IF(A377="","",SUM(B377:E377))</f>
        <v/>
      </c>
      <c r="G377" s="26" t="str">
        <f aca="false">IF(A377="","",B377*Premissas!$C$4+C377*Premissas!$C$7+D377*Premissas!$C$6+E377*Premissas!$C$5)</f>
        <v/>
      </c>
      <c r="H377" s="27" t="str">
        <f aca="false">IF(A377="","",DATE(YEAR(A377),MONTH(A377),1))</f>
        <v/>
      </c>
    </row>
    <row r="378" customFormat="false" ht="14.25" hidden="false" customHeight="true" outlineLevel="0" collapsed="false">
      <c r="A378" s="23"/>
      <c r="B378" s="24"/>
      <c r="C378" s="24"/>
      <c r="D378" s="24"/>
      <c r="E378" s="24"/>
      <c r="F378" s="25" t="str">
        <f aca="false">IF(A378="","",SUM(B378:E378))</f>
        <v/>
      </c>
      <c r="G378" s="26" t="str">
        <f aca="false">IF(A378="","",B378*Premissas!$C$4+C378*Premissas!$C$7+D378*Premissas!$C$6+E378*Premissas!$C$5)</f>
        <v/>
      </c>
      <c r="H378" s="27" t="str">
        <f aca="false">IF(A378="","",DATE(YEAR(A378),MONTH(A378),1))</f>
        <v/>
      </c>
    </row>
    <row r="379" customFormat="false" ht="14.25" hidden="false" customHeight="true" outlineLevel="0" collapsed="false">
      <c r="A379" s="23"/>
      <c r="B379" s="24"/>
      <c r="C379" s="24"/>
      <c r="D379" s="24"/>
      <c r="E379" s="24"/>
      <c r="F379" s="25" t="str">
        <f aca="false">IF(A379="","",SUM(B379:E379))</f>
        <v/>
      </c>
      <c r="G379" s="26" t="str">
        <f aca="false">IF(A379="","",B379*Premissas!$C$4+C379*Premissas!$C$7+D379*Premissas!$C$6+E379*Premissas!$C$5)</f>
        <v/>
      </c>
      <c r="H379" s="27" t="str">
        <f aca="false">IF(A379="","",DATE(YEAR(A379),MONTH(A379),1))</f>
        <v/>
      </c>
    </row>
    <row r="380" customFormat="false" ht="14.25" hidden="false" customHeight="true" outlineLevel="0" collapsed="false">
      <c r="A380" s="23"/>
      <c r="B380" s="24"/>
      <c r="C380" s="24"/>
      <c r="D380" s="24"/>
      <c r="E380" s="24"/>
      <c r="F380" s="25" t="str">
        <f aca="false">IF(A380="","",SUM(B380:E380))</f>
        <v/>
      </c>
      <c r="G380" s="26" t="str">
        <f aca="false">IF(A380="","",B380*Premissas!$C$4+C380*Premissas!$C$7+D380*Premissas!$C$6+E380*Premissas!$C$5)</f>
        <v/>
      </c>
      <c r="H380" s="27" t="str">
        <f aca="false">IF(A380="","",DATE(YEAR(A380),MONTH(A380),1))</f>
        <v/>
      </c>
    </row>
    <row r="381" customFormat="false" ht="14.25" hidden="false" customHeight="true" outlineLevel="0" collapsed="false">
      <c r="A381" s="23"/>
      <c r="B381" s="24"/>
      <c r="C381" s="24"/>
      <c r="D381" s="24"/>
      <c r="E381" s="24"/>
      <c r="F381" s="25" t="str">
        <f aca="false">IF(A381="","",SUM(B381:E381))</f>
        <v/>
      </c>
      <c r="G381" s="26" t="str">
        <f aca="false">IF(A381="","",B381*Premissas!$C$4+C381*Premissas!$C$7+D381*Premissas!$C$6+E381*Premissas!$C$5)</f>
        <v/>
      </c>
      <c r="H381" s="27" t="str">
        <f aca="false">IF(A381="","",DATE(YEAR(A381),MONTH(A381),1))</f>
        <v/>
      </c>
    </row>
    <row r="382" customFormat="false" ht="14.25" hidden="false" customHeight="true" outlineLevel="0" collapsed="false">
      <c r="A382" s="23"/>
      <c r="B382" s="24"/>
      <c r="C382" s="24"/>
      <c r="D382" s="24"/>
      <c r="E382" s="24"/>
      <c r="F382" s="25" t="str">
        <f aca="false">IF(A382="","",SUM(B382:E382))</f>
        <v/>
      </c>
      <c r="G382" s="26" t="str">
        <f aca="false">IF(A382="","",B382*Premissas!$C$4+C382*Premissas!$C$7+D382*Premissas!$C$6+E382*Premissas!$C$5)</f>
        <v/>
      </c>
      <c r="H382" s="27" t="str">
        <f aca="false">IF(A382="","",DATE(YEAR(A382),MONTH(A382),1))</f>
        <v/>
      </c>
    </row>
    <row r="383" customFormat="false" ht="14.25" hidden="false" customHeight="true" outlineLevel="0" collapsed="false">
      <c r="A383" s="23"/>
      <c r="B383" s="24"/>
      <c r="C383" s="24"/>
      <c r="D383" s="24"/>
      <c r="E383" s="24"/>
      <c r="F383" s="25" t="str">
        <f aca="false">IF(A383="","",SUM(B383:E383))</f>
        <v/>
      </c>
      <c r="G383" s="26" t="str">
        <f aca="false">IF(A383="","",B383*Premissas!$C$4+C383*Premissas!$C$7+D383*Premissas!$C$6+E383*Premissas!$C$5)</f>
        <v/>
      </c>
      <c r="H383" s="27" t="str">
        <f aca="false">IF(A383="","",DATE(YEAR(A383),MONTH(A383),1))</f>
        <v/>
      </c>
    </row>
    <row r="384" customFormat="false" ht="14.25" hidden="false" customHeight="true" outlineLevel="0" collapsed="false">
      <c r="A384" s="23"/>
      <c r="B384" s="24"/>
      <c r="C384" s="24"/>
      <c r="D384" s="24"/>
      <c r="E384" s="24"/>
      <c r="F384" s="25" t="str">
        <f aca="false">IF(A384="","",SUM(B384:E384))</f>
        <v/>
      </c>
      <c r="G384" s="26" t="str">
        <f aca="false">IF(A384="","",B384*Premissas!$C$4+C384*Premissas!$C$7+D384*Premissas!$C$6+E384*Premissas!$C$5)</f>
        <v/>
      </c>
      <c r="H384" s="27" t="str">
        <f aca="false">IF(A384="","",DATE(YEAR(A384),MONTH(A384),1))</f>
        <v/>
      </c>
    </row>
    <row r="385" customFormat="false" ht="14.25" hidden="false" customHeight="true" outlineLevel="0" collapsed="false">
      <c r="A385" s="23"/>
      <c r="B385" s="24"/>
      <c r="C385" s="24"/>
      <c r="D385" s="24"/>
      <c r="E385" s="24"/>
      <c r="F385" s="25" t="str">
        <f aca="false">IF(A385="","",SUM(B385:E385))</f>
        <v/>
      </c>
      <c r="G385" s="26" t="str">
        <f aca="false">IF(A385="","",B385*Premissas!$C$4+C385*Premissas!$C$7+D385*Premissas!$C$6+E385*Premissas!$C$5)</f>
        <v/>
      </c>
      <c r="H385" s="27" t="str">
        <f aca="false">IF(A385="","",DATE(YEAR(A385),MONTH(A385),1))</f>
        <v/>
      </c>
    </row>
    <row r="386" customFormat="false" ht="14.25" hidden="false" customHeight="true" outlineLevel="0" collapsed="false">
      <c r="A386" s="23"/>
      <c r="B386" s="24"/>
      <c r="C386" s="24"/>
      <c r="D386" s="24"/>
      <c r="E386" s="24"/>
      <c r="F386" s="25" t="str">
        <f aca="false">IF(A386="","",SUM(B386:E386))</f>
        <v/>
      </c>
      <c r="G386" s="26" t="str">
        <f aca="false">IF(A386="","",B386*Premissas!$C$4+C386*Premissas!$C$7+D386*Premissas!$C$6+E386*Premissas!$C$5)</f>
        <v/>
      </c>
      <c r="H386" s="27" t="str">
        <f aca="false">IF(A386="","",DATE(YEAR(A386),MONTH(A386),1))</f>
        <v/>
      </c>
    </row>
    <row r="387" customFormat="false" ht="14.25" hidden="false" customHeight="true" outlineLevel="0" collapsed="false">
      <c r="A387" s="23"/>
      <c r="B387" s="24"/>
      <c r="C387" s="24"/>
      <c r="D387" s="24"/>
      <c r="E387" s="24"/>
      <c r="F387" s="25" t="str">
        <f aca="false">IF(A387="","",SUM(B387:E387))</f>
        <v/>
      </c>
      <c r="G387" s="26" t="str">
        <f aca="false">IF(A387="","",B387*Premissas!$C$4+C387*Premissas!$C$7+D387*Premissas!$C$6+E387*Premissas!$C$5)</f>
        <v/>
      </c>
      <c r="H387" s="27" t="str">
        <f aca="false">IF(A387="","",DATE(YEAR(A387),MONTH(A387),1))</f>
        <v/>
      </c>
    </row>
    <row r="388" customFormat="false" ht="14.25" hidden="false" customHeight="true" outlineLevel="0" collapsed="false">
      <c r="A388" s="23"/>
      <c r="B388" s="24"/>
      <c r="C388" s="24"/>
      <c r="D388" s="24"/>
      <c r="E388" s="24"/>
      <c r="F388" s="25" t="str">
        <f aca="false">IF(A388="","",SUM(B388:E388))</f>
        <v/>
      </c>
      <c r="G388" s="26" t="str">
        <f aca="false">IF(A388="","",B388*Premissas!$C$4+C388*Premissas!$C$7+D388*Premissas!$C$6+E388*Premissas!$C$5)</f>
        <v/>
      </c>
      <c r="H388" s="27" t="str">
        <f aca="false">IF(A388="","",DATE(YEAR(A388),MONTH(A388),1))</f>
        <v/>
      </c>
    </row>
    <row r="389" customFormat="false" ht="14.25" hidden="false" customHeight="true" outlineLevel="0" collapsed="false">
      <c r="A389" s="23"/>
      <c r="B389" s="24"/>
      <c r="C389" s="24"/>
      <c r="D389" s="24"/>
      <c r="E389" s="24"/>
      <c r="F389" s="25" t="str">
        <f aca="false">IF(A389="","",SUM(B389:E389))</f>
        <v/>
      </c>
      <c r="G389" s="26" t="str">
        <f aca="false">IF(A389="","",B389*Premissas!$C$4+C389*Premissas!$C$7+D389*Premissas!$C$6+E389*Premissas!$C$5)</f>
        <v/>
      </c>
      <c r="H389" s="27" t="str">
        <f aca="false">IF(A389="","",DATE(YEAR(A389),MONTH(A389),1))</f>
        <v/>
      </c>
    </row>
    <row r="390" customFormat="false" ht="14.25" hidden="false" customHeight="true" outlineLevel="0" collapsed="false">
      <c r="A390" s="23"/>
      <c r="B390" s="24"/>
      <c r="C390" s="24"/>
      <c r="D390" s="24"/>
      <c r="E390" s="24"/>
      <c r="F390" s="25" t="str">
        <f aca="false">IF(A390="","",SUM(B390:E390))</f>
        <v/>
      </c>
      <c r="G390" s="26" t="str">
        <f aca="false">IF(A390="","",B390*Premissas!$C$4+C390*Premissas!$C$7+D390*Premissas!$C$6+E390*Premissas!$C$5)</f>
        <v/>
      </c>
      <c r="H390" s="27" t="str">
        <f aca="false">IF(A390="","",DATE(YEAR(A390),MONTH(A390),1))</f>
        <v/>
      </c>
    </row>
    <row r="391" customFormat="false" ht="14.25" hidden="false" customHeight="true" outlineLevel="0" collapsed="false">
      <c r="A391" s="23"/>
      <c r="B391" s="24"/>
      <c r="C391" s="24"/>
      <c r="D391" s="24"/>
      <c r="E391" s="24"/>
      <c r="F391" s="25" t="str">
        <f aca="false">IF(A391="","",SUM(B391:E391))</f>
        <v/>
      </c>
      <c r="G391" s="26" t="str">
        <f aca="false">IF(A391="","",B391*Premissas!$C$4+C391*Premissas!$C$7+D391*Premissas!$C$6+E391*Premissas!$C$5)</f>
        <v/>
      </c>
      <c r="H391" s="27" t="str">
        <f aca="false">IF(A391="","",DATE(YEAR(A391),MONTH(A391),1))</f>
        <v/>
      </c>
    </row>
    <row r="392" customFormat="false" ht="14.25" hidden="false" customHeight="true" outlineLevel="0" collapsed="false">
      <c r="A392" s="23"/>
      <c r="B392" s="24"/>
      <c r="C392" s="24"/>
      <c r="D392" s="24"/>
      <c r="E392" s="24"/>
      <c r="F392" s="25" t="str">
        <f aca="false">IF(A392="","",SUM(B392:E392))</f>
        <v/>
      </c>
      <c r="G392" s="26" t="str">
        <f aca="false">IF(A392="","",B392*Premissas!$C$4+C392*Premissas!$C$7+D392*Premissas!$C$6+E392*Premissas!$C$5)</f>
        <v/>
      </c>
      <c r="H392" s="27" t="str">
        <f aca="false">IF(A392="","",DATE(YEAR(A392),MONTH(A392),1))</f>
        <v/>
      </c>
    </row>
    <row r="393" customFormat="false" ht="14.25" hidden="false" customHeight="true" outlineLevel="0" collapsed="false">
      <c r="A393" s="23"/>
      <c r="B393" s="24"/>
      <c r="C393" s="24"/>
      <c r="D393" s="24"/>
      <c r="E393" s="24"/>
      <c r="F393" s="25" t="str">
        <f aca="false">IF(A393="","",SUM(B393:E393))</f>
        <v/>
      </c>
      <c r="G393" s="26" t="str">
        <f aca="false">IF(A393="","",B393*Premissas!$C$4+C393*Premissas!$C$7+D393*Premissas!$C$6+E393*Premissas!$C$5)</f>
        <v/>
      </c>
      <c r="H393" s="27" t="str">
        <f aca="false">IF(A393="","",DATE(YEAR(A393),MONTH(A393),1))</f>
        <v/>
      </c>
    </row>
    <row r="394" customFormat="false" ht="14.25" hidden="false" customHeight="true" outlineLevel="0" collapsed="false">
      <c r="A394" s="23"/>
      <c r="B394" s="24"/>
      <c r="C394" s="24"/>
      <c r="D394" s="24"/>
      <c r="E394" s="24"/>
      <c r="F394" s="25" t="str">
        <f aca="false">IF(A394="","",SUM(B394:E394))</f>
        <v/>
      </c>
      <c r="G394" s="26" t="str">
        <f aca="false">IF(A394="","",B394*Premissas!$C$4+C394*Premissas!$C$7+D394*Premissas!$C$6+E394*Premissas!$C$5)</f>
        <v/>
      </c>
      <c r="H394" s="27" t="str">
        <f aca="false">IF(A394="","",DATE(YEAR(A394),MONTH(A394),1))</f>
        <v/>
      </c>
    </row>
    <row r="395" customFormat="false" ht="14.25" hidden="false" customHeight="true" outlineLevel="0" collapsed="false">
      <c r="A395" s="23"/>
      <c r="B395" s="24"/>
      <c r="C395" s="24"/>
      <c r="D395" s="24"/>
      <c r="E395" s="24"/>
      <c r="F395" s="25" t="str">
        <f aca="false">IF(A395="","",SUM(B395:E395))</f>
        <v/>
      </c>
      <c r="G395" s="26" t="str">
        <f aca="false">IF(A395="","",B395*Premissas!$C$4+C395*Premissas!$C$7+D395*Premissas!$C$6+E395*Premissas!$C$5)</f>
        <v/>
      </c>
      <c r="H395" s="27" t="str">
        <f aca="false">IF(A395="","",DATE(YEAR(A395),MONTH(A395),1))</f>
        <v/>
      </c>
    </row>
    <row r="396" customFormat="false" ht="14.25" hidden="false" customHeight="true" outlineLevel="0" collapsed="false">
      <c r="A396" s="23"/>
      <c r="B396" s="24"/>
      <c r="C396" s="24"/>
      <c r="D396" s="24"/>
      <c r="E396" s="24"/>
      <c r="F396" s="25" t="str">
        <f aca="false">IF(A396="","",SUM(B396:E396))</f>
        <v/>
      </c>
      <c r="G396" s="26" t="str">
        <f aca="false">IF(A396="","",B396*Premissas!$C$4+C396*Premissas!$C$7+D396*Premissas!$C$6+E396*Premissas!$C$5)</f>
        <v/>
      </c>
      <c r="H396" s="27" t="str">
        <f aca="false">IF(A396="","",DATE(YEAR(A396),MONTH(A396),1))</f>
        <v/>
      </c>
    </row>
    <row r="397" customFormat="false" ht="14.25" hidden="false" customHeight="true" outlineLevel="0" collapsed="false">
      <c r="A397" s="23"/>
      <c r="B397" s="24"/>
      <c r="C397" s="24"/>
      <c r="D397" s="24"/>
      <c r="E397" s="24"/>
      <c r="F397" s="25" t="str">
        <f aca="false">IF(A397="","",SUM(B397:E397))</f>
        <v/>
      </c>
      <c r="G397" s="26" t="str">
        <f aca="false">IF(A397="","",B397*Premissas!$C$4+C397*Premissas!$C$7+D397*Premissas!$C$6+E397*Premissas!$C$5)</f>
        <v/>
      </c>
      <c r="H397" s="27" t="str">
        <f aca="false">IF(A397="","",DATE(YEAR(A397),MONTH(A397),1))</f>
        <v/>
      </c>
    </row>
    <row r="398" customFormat="false" ht="14.25" hidden="false" customHeight="true" outlineLevel="0" collapsed="false">
      <c r="A398" s="23"/>
      <c r="B398" s="24"/>
      <c r="C398" s="24"/>
      <c r="D398" s="24"/>
      <c r="E398" s="24"/>
      <c r="F398" s="25" t="str">
        <f aca="false">IF(A398="","",SUM(B398:E398))</f>
        <v/>
      </c>
      <c r="G398" s="26" t="str">
        <f aca="false">IF(A398="","",B398*Premissas!$C$4+C398*Premissas!$C$7+D398*Premissas!$C$6+E398*Premissas!$C$5)</f>
        <v/>
      </c>
      <c r="H398" s="27" t="str">
        <f aca="false">IF(A398="","",DATE(YEAR(A398),MONTH(A398),1))</f>
        <v/>
      </c>
    </row>
    <row r="399" customFormat="false" ht="14.25" hidden="false" customHeight="true" outlineLevel="0" collapsed="false">
      <c r="A399" s="23"/>
      <c r="B399" s="24"/>
      <c r="C399" s="24"/>
      <c r="D399" s="24"/>
      <c r="E399" s="24"/>
      <c r="F399" s="25" t="str">
        <f aca="false">IF(A399="","",SUM(B399:E399))</f>
        <v/>
      </c>
      <c r="G399" s="26" t="str">
        <f aca="false">IF(A399="","",B399*Premissas!$C$4+C399*Premissas!$C$7+D399*Premissas!$C$6+E399*Premissas!$C$5)</f>
        <v/>
      </c>
      <c r="H399" s="27" t="str">
        <f aca="false">IF(A399="","",DATE(YEAR(A399),MONTH(A399),1))</f>
        <v/>
      </c>
    </row>
    <row r="400" customFormat="false" ht="14.25" hidden="false" customHeight="true" outlineLevel="0" collapsed="false">
      <c r="A400" s="23"/>
      <c r="B400" s="24"/>
      <c r="C400" s="24"/>
      <c r="D400" s="24"/>
      <c r="E400" s="24"/>
      <c r="F400" s="25" t="str">
        <f aca="false">IF(A400="","",SUM(B400:E400))</f>
        <v/>
      </c>
      <c r="G400" s="26" t="str">
        <f aca="false">IF(A400="","",B400*Premissas!$C$4+C400*Premissas!$C$7+D400*Premissas!$C$6+E400*Premissas!$C$5)</f>
        <v/>
      </c>
      <c r="H400" s="27" t="str">
        <f aca="false">IF(A400="","",DATE(YEAR(A400),MONTH(A400),1))</f>
        <v/>
      </c>
    </row>
  </sheetData>
  <mergeCells count="1">
    <mergeCell ref="A1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5" activeCellId="0" sqref="A5"/>
    </sheetView>
  </sheetViews>
  <sheetFormatPr defaultColWidth="8.6328125" defaultRowHeight="14.25" zeroHeight="false" outlineLevelRow="0" outlineLevelCol="0"/>
  <cols>
    <col collapsed="false" customWidth="true" hidden="false" outlineLevel="0" max="2" min="1" style="1" width="13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15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9" min="8" style="1" width="16"/>
    <col collapsed="false" customWidth="true" hidden="false" outlineLevel="0" max="11" min="10" style="1" width="18"/>
    <col collapsed="false" customWidth="true" hidden="false" outlineLevel="0" max="12" min="12" style="1" width="20"/>
  </cols>
  <sheetData>
    <row r="1" customFormat="false" ht="18" hidden="false" customHeight="true" outlineLevel="0" collapsed="false">
      <c r="A1" s="28" t="s">
        <v>27</v>
      </c>
      <c r="B1" s="28"/>
      <c r="C1" s="28"/>
      <c r="D1" s="28"/>
    </row>
    <row r="2" customFormat="false" ht="14.25" hidden="false" customHeight="true" outlineLevel="0" collapsed="false">
      <c r="A2" s="29" t="s">
        <v>28</v>
      </c>
    </row>
    <row r="4" customFormat="false" ht="31.5" hidden="false" customHeight="true" outlineLevel="0" collapsed="false">
      <c r="A4" s="22" t="s">
        <v>29</v>
      </c>
      <c r="B4" s="22" t="s">
        <v>30</v>
      </c>
      <c r="C4" s="22" t="s">
        <v>31</v>
      </c>
      <c r="D4" s="22" t="s">
        <v>3</v>
      </c>
      <c r="E4" s="22" t="s">
        <v>4</v>
      </c>
      <c r="F4" s="22" t="s">
        <v>5</v>
      </c>
      <c r="G4" s="22" t="s">
        <v>6</v>
      </c>
      <c r="H4" s="22" t="s">
        <v>23</v>
      </c>
      <c r="I4" s="22" t="s">
        <v>24</v>
      </c>
      <c r="J4" s="22" t="s">
        <v>32</v>
      </c>
      <c r="K4" s="22" t="s">
        <v>33</v>
      </c>
      <c r="L4" s="22" t="s">
        <v>34</v>
      </c>
    </row>
    <row r="5" customFormat="false" ht="14.25" hidden="false" customHeight="true" outlineLevel="0" collapsed="false">
      <c r="A5" s="30" t="n">
        <f aca="false">IF(COUNT(Diário!$A$5:$A$400)=0,"",Premissas!$C$9)</f>
        <v>46296</v>
      </c>
      <c r="B5" s="30" t="n">
        <f aca="false">IF(A5="","",Premissas!$C$10)</f>
        <v>46301</v>
      </c>
      <c r="C5" s="14" t="n">
        <f aca="false">IF(A5="","",COUNTIFS(Diário!$A$5:$A$400,"&gt;="&amp;$A5,Diário!$A$5:$A$400,"&lt;="&amp;$B5))</f>
        <v>6</v>
      </c>
      <c r="D5" s="14" t="n">
        <f aca="false">IF($A5="","",SUMIFS(Diário!$B$5:$B$400,Diário!$A$5:$A$400,"&gt;="&amp;$A5,Diário!$A$5:$A$400,"&lt;="&amp;$B5))</f>
        <v>82342</v>
      </c>
      <c r="E5" s="14" t="n">
        <f aca="false">IF($A5="","",SUMIFS(Diário!$E$5:$E$400,Diário!$A$5:$A$400,"&gt;="&amp;$A5,Diário!$A$5:$A$400,"&lt;="&amp;$B5))</f>
        <v>9339</v>
      </c>
      <c r="F5" s="14" t="n">
        <f aca="false">IF($A5="","",SUMIFS(Diário!$D$5:$D$400,Diário!$A$5:$A$400,"&gt;="&amp;$A5,Diário!$A$5:$A$400,"&lt;="&amp;$B5))</f>
        <v>0</v>
      </c>
      <c r="G5" s="14" t="n">
        <f aca="false">IF($A5="","",SUMIFS(Diário!$C$5:$C$400,Diário!$A$5:$A$400,"&gt;="&amp;$A5,Diário!$A$5:$A$400,"&lt;="&amp;$B5))</f>
        <v>0</v>
      </c>
      <c r="H5" s="14" t="n">
        <f aca="false">IF(A5="","",SUM(D5:G5))</f>
        <v>91681</v>
      </c>
      <c r="I5" s="31" t="n">
        <f aca="false">IF($A5="","",SUMIFS(Diário!$G$5:$G$400,Diário!$A$5:$A$400,"&gt;="&amp;$A5,Diário!$A$5:$A$400,"&lt;="&amp;$B5))</f>
        <v>12453.84</v>
      </c>
      <c r="J5" s="32" t="n">
        <f aca="false">IF(A5="","",IF(H5=0,0,I5/H5))</f>
        <v>0.135838832473468</v>
      </c>
      <c r="K5" s="15" t="n">
        <f aca="false">IF(A5="","",IF(I5=0,0,E5*Premissas!$C$5/I5))</f>
        <v>0.404940163034052</v>
      </c>
      <c r="L5" s="33" t="str">
        <f aca="false">IF(A5="","","n/d")</f>
        <v>n/d</v>
      </c>
    </row>
    <row r="6" customFormat="false" ht="14.25" hidden="false" customHeight="true" outlineLevel="0" collapsed="false">
      <c r="A6" s="30" t="n">
        <f aca="false">IF(B5="","",IF(B5+1&gt;MAX(Diário!$A$5:$A$400),"",B5+1))</f>
        <v>46302</v>
      </c>
      <c r="B6" s="30" t="n">
        <f aca="false">IF(A6="","",A6+6)</f>
        <v>46308</v>
      </c>
      <c r="C6" s="14" t="n">
        <f aca="false">IF(A6="","",COUNTIFS(Diário!$A$5:$A$400,"&gt;="&amp;$A6,Diário!$A$5:$A$400,"&lt;="&amp;$B6))</f>
        <v>7</v>
      </c>
      <c r="D6" s="14" t="n">
        <f aca="false">IF($A6="","",SUMIFS(Diário!$B$5:$B$400,Diário!$A$5:$A$400,"&gt;="&amp;$A6,Diário!$A$5:$A$400,"&lt;="&amp;$B6))</f>
        <v>77865</v>
      </c>
      <c r="E6" s="14" t="n">
        <f aca="false">IF($A6="","",SUMIFS(Diário!$E$5:$E$400,Diário!$A$5:$A$400,"&gt;="&amp;$A6,Diário!$A$5:$A$400,"&lt;="&amp;$B6))</f>
        <v>1645</v>
      </c>
      <c r="F6" s="14" t="n">
        <f aca="false">IF($A6="","",SUMIFS(Diário!$D$5:$D$400,Diário!$A$5:$A$400,"&gt;="&amp;$A6,Diário!$A$5:$A$400,"&lt;="&amp;$B6))</f>
        <v>0</v>
      </c>
      <c r="G6" s="14" t="n">
        <f aca="false">IF($A6="","",SUMIFS(Diário!$C$5:$C$400,Diário!$A$5:$A$400,"&gt;="&amp;$A6,Diário!$A$5:$A$400,"&lt;="&amp;$B6))</f>
        <v>0</v>
      </c>
      <c r="H6" s="14" t="n">
        <f aca="false">IF(A6="","",SUM(D6:G6))</f>
        <v>79510</v>
      </c>
      <c r="I6" s="31" t="n">
        <f aca="false">IF($A6="","",SUMIFS(Diário!$G$5:$G$400,Diário!$A$5:$A$400,"&gt;="&amp;$A6,Diário!$A$5:$A$400,"&lt;="&amp;$B6))</f>
        <v>7896.15</v>
      </c>
      <c r="J6" s="32" t="n">
        <f aca="false">IF(A6="","",IF(H6=0,0,I6/H6))</f>
        <v>0.0993101496667086</v>
      </c>
      <c r="K6" s="15" t="n">
        <f aca="false">IF(A6="","",IF(I6=0,0,E6*Premissas!$C$5/I6))</f>
        <v>0.112497862882544</v>
      </c>
      <c r="L6" s="33" t="n">
        <f aca="false">IF(A6="","",IF(I5=0,"n/d",I6/I5-1))</f>
        <v>-0.365966641614153</v>
      </c>
    </row>
    <row r="7" customFormat="false" ht="14.25" hidden="false" customHeight="true" outlineLevel="0" collapsed="false">
      <c r="A7" s="30" t="str">
        <f aca="false">IF(B6="","",IF(B6+1&gt;MAX(Diário!$A$5:$A$400),"",B6+1))</f>
        <v/>
      </c>
      <c r="B7" s="30" t="str">
        <f aca="false">IF(A7="","",A7+6)</f>
        <v/>
      </c>
      <c r="C7" s="14" t="str">
        <f aca="false">IF(A7="","",COUNTIFS(Diário!$A$5:$A$400,"&gt;="&amp;$A7,Diário!$A$5:$A$400,"&lt;="&amp;$B7))</f>
        <v/>
      </c>
      <c r="D7" s="14" t="str">
        <f aca="false">IF($A7="","",SUMIFS(Diário!$B$5:$B$400,Diário!$A$5:$A$400,"&gt;="&amp;$A7,Diário!$A$5:$A$400,"&lt;="&amp;$B7))</f>
        <v/>
      </c>
      <c r="E7" s="14" t="str">
        <f aca="false">IF($A7="","",SUMIFS(Diário!$E$5:$E$400,Diário!$A$5:$A$400,"&gt;="&amp;$A7,Diário!$A$5:$A$400,"&lt;="&amp;$B7))</f>
        <v/>
      </c>
      <c r="F7" s="14" t="str">
        <f aca="false">IF($A7="","",SUMIFS(Diário!$D$5:$D$400,Diário!$A$5:$A$400,"&gt;="&amp;$A7,Diário!$A$5:$A$400,"&lt;="&amp;$B7))</f>
        <v/>
      </c>
      <c r="G7" s="14" t="str">
        <f aca="false">IF($A7="","",SUMIFS(Diário!$C$5:$C$400,Diário!$A$5:$A$400,"&gt;="&amp;$A7,Diário!$A$5:$A$400,"&lt;="&amp;$B7))</f>
        <v/>
      </c>
      <c r="H7" s="14" t="str">
        <f aca="false">IF(A7="","",SUM(D7:G7))</f>
        <v/>
      </c>
      <c r="I7" s="31" t="str">
        <f aca="false">IF($A7="","",SUMIFS(Diário!$G$5:$G$400,Diário!$A$5:$A$400,"&gt;="&amp;$A7,Diário!$A$5:$A$400,"&lt;="&amp;$B7))</f>
        <v/>
      </c>
      <c r="J7" s="32" t="str">
        <f aca="false">IF(A7="","",IF(H7=0,0,I7/H7))</f>
        <v/>
      </c>
      <c r="K7" s="15" t="str">
        <f aca="false">IF(A7="","",IF(I7=0,0,E7*Premissas!$C$5/I7))</f>
        <v/>
      </c>
      <c r="L7" s="33" t="str">
        <f aca="false">IF(A7="","",IF(I6=0,"n/d",I7/I6-1))</f>
        <v/>
      </c>
    </row>
    <row r="8" customFormat="false" ht="14.25" hidden="false" customHeight="true" outlineLevel="0" collapsed="false">
      <c r="A8" s="30" t="str">
        <f aca="false">IF(B7="","",IF(B7+1&gt;MAX(Diário!$A$5:$A$400),"",B7+1))</f>
        <v/>
      </c>
      <c r="B8" s="30" t="str">
        <f aca="false">IF(A8="","",A8+6)</f>
        <v/>
      </c>
      <c r="C8" s="14" t="str">
        <f aca="false">IF(A8="","",COUNTIFS(Diário!$A$5:$A$400,"&gt;="&amp;$A8,Diário!$A$5:$A$400,"&lt;="&amp;$B8))</f>
        <v/>
      </c>
      <c r="D8" s="14" t="str">
        <f aca="false">IF($A8="","",SUMIFS(Diário!$B$5:$B$400,Diário!$A$5:$A$400,"&gt;="&amp;$A8,Diário!$A$5:$A$400,"&lt;="&amp;$B8))</f>
        <v/>
      </c>
      <c r="E8" s="14" t="str">
        <f aca="false">IF($A8="","",SUMIFS(Diário!$E$5:$E$400,Diário!$A$5:$A$400,"&gt;="&amp;$A8,Diário!$A$5:$A$400,"&lt;="&amp;$B8))</f>
        <v/>
      </c>
      <c r="F8" s="14" t="str">
        <f aca="false">IF($A8="","",SUMIFS(Diário!$D$5:$D$400,Diário!$A$5:$A$400,"&gt;="&amp;$A8,Diário!$A$5:$A$400,"&lt;="&amp;$B8))</f>
        <v/>
      </c>
      <c r="G8" s="14" t="str">
        <f aca="false">IF($A8="","",SUMIFS(Diário!$C$5:$C$400,Diário!$A$5:$A$400,"&gt;="&amp;$A8,Diário!$A$5:$A$400,"&lt;="&amp;$B8))</f>
        <v/>
      </c>
      <c r="H8" s="14" t="str">
        <f aca="false">IF(A8="","",SUM(D8:G8))</f>
        <v/>
      </c>
      <c r="I8" s="31" t="str">
        <f aca="false">IF($A8="","",SUMIFS(Diário!$G$5:$G$400,Diário!$A$5:$A$400,"&gt;="&amp;$A8,Diário!$A$5:$A$400,"&lt;="&amp;$B8))</f>
        <v/>
      </c>
      <c r="J8" s="32" t="str">
        <f aca="false">IF(A8="","",IF(H8=0,0,I8/H8))</f>
        <v/>
      </c>
      <c r="K8" s="15" t="str">
        <f aca="false">IF(A8="","",IF(I8=0,0,E8*Premissas!$C$5/I8))</f>
        <v/>
      </c>
      <c r="L8" s="33" t="str">
        <f aca="false">IF(A8="","",IF(I7=0,"n/d",I8/I7-1))</f>
        <v/>
      </c>
    </row>
    <row r="9" customFormat="false" ht="14.25" hidden="false" customHeight="true" outlineLevel="0" collapsed="false">
      <c r="A9" s="30" t="str">
        <f aca="false">IF(B8="","",IF(B8+1&gt;MAX(Diário!$A$5:$A$400),"",B8+1))</f>
        <v/>
      </c>
      <c r="B9" s="30" t="str">
        <f aca="false">IF(A9="","",A9+6)</f>
        <v/>
      </c>
      <c r="C9" s="14" t="str">
        <f aca="false">IF(A9="","",COUNTIFS(Diário!$A$5:$A$400,"&gt;="&amp;$A9,Diário!$A$5:$A$400,"&lt;="&amp;$B9))</f>
        <v/>
      </c>
      <c r="D9" s="14" t="str">
        <f aca="false">IF($A9="","",SUMIFS(Diário!$B$5:$B$400,Diário!$A$5:$A$400,"&gt;="&amp;$A9,Diário!$A$5:$A$400,"&lt;="&amp;$B9))</f>
        <v/>
      </c>
      <c r="E9" s="14" t="str">
        <f aca="false">IF($A9="","",SUMIFS(Diário!$E$5:$E$400,Diário!$A$5:$A$400,"&gt;="&amp;$A9,Diário!$A$5:$A$400,"&lt;="&amp;$B9))</f>
        <v/>
      </c>
      <c r="F9" s="14" t="str">
        <f aca="false">IF($A9="","",SUMIFS(Diário!$D$5:$D$400,Diário!$A$5:$A$400,"&gt;="&amp;$A9,Diário!$A$5:$A$400,"&lt;="&amp;$B9))</f>
        <v/>
      </c>
      <c r="G9" s="14" t="str">
        <f aca="false">IF($A9="","",SUMIFS(Diário!$C$5:$C$400,Diário!$A$5:$A$400,"&gt;="&amp;$A9,Diário!$A$5:$A$400,"&lt;="&amp;$B9))</f>
        <v/>
      </c>
      <c r="H9" s="14" t="str">
        <f aca="false">IF(A9="","",SUM(D9:G9))</f>
        <v/>
      </c>
      <c r="I9" s="31" t="str">
        <f aca="false">IF($A9="","",SUMIFS(Diário!$G$5:$G$400,Diário!$A$5:$A$400,"&gt;="&amp;$A9,Diário!$A$5:$A$400,"&lt;="&amp;$B9))</f>
        <v/>
      </c>
      <c r="J9" s="32" t="str">
        <f aca="false">IF(A9="","",IF(H9=0,0,I9/H9))</f>
        <v/>
      </c>
      <c r="K9" s="15" t="str">
        <f aca="false">IF(A9="","",IF(I9=0,0,E9*Premissas!$C$5/I9))</f>
        <v/>
      </c>
      <c r="L9" s="33" t="str">
        <f aca="false">IF(A9="","",IF(I8=0,"n/d",I9/I8-1))</f>
        <v/>
      </c>
    </row>
    <row r="10" customFormat="false" ht="14.25" hidden="false" customHeight="true" outlineLevel="0" collapsed="false">
      <c r="A10" s="30" t="str">
        <f aca="false">IF(B9="","",IF(B9+1&gt;MAX(Diário!$A$5:$A$400),"",B9+1))</f>
        <v/>
      </c>
      <c r="B10" s="30" t="str">
        <f aca="false">IF(A10="","",A10+6)</f>
        <v/>
      </c>
      <c r="C10" s="14" t="str">
        <f aca="false">IF(A10="","",COUNTIFS(Diário!$A$5:$A$400,"&gt;="&amp;$A10,Diário!$A$5:$A$400,"&lt;="&amp;$B10))</f>
        <v/>
      </c>
      <c r="D10" s="14" t="str">
        <f aca="false">IF($A10="","",SUMIFS(Diário!$B$5:$B$400,Diário!$A$5:$A$400,"&gt;="&amp;$A10,Diário!$A$5:$A$400,"&lt;="&amp;$B10))</f>
        <v/>
      </c>
      <c r="E10" s="14" t="str">
        <f aca="false">IF($A10="","",SUMIFS(Diário!$E$5:$E$400,Diário!$A$5:$A$400,"&gt;="&amp;$A10,Diário!$A$5:$A$400,"&lt;="&amp;$B10))</f>
        <v/>
      </c>
      <c r="F10" s="14" t="str">
        <f aca="false">IF($A10="","",SUMIFS(Diário!$D$5:$D$400,Diário!$A$5:$A$400,"&gt;="&amp;$A10,Diário!$A$5:$A$400,"&lt;="&amp;$B10))</f>
        <v/>
      </c>
      <c r="G10" s="14" t="str">
        <f aca="false">IF($A10="","",SUMIFS(Diário!$C$5:$C$400,Diário!$A$5:$A$400,"&gt;="&amp;$A10,Diário!$A$5:$A$400,"&lt;="&amp;$B10))</f>
        <v/>
      </c>
      <c r="H10" s="14" t="str">
        <f aca="false">IF(A10="","",SUM(D10:G10))</f>
        <v/>
      </c>
      <c r="I10" s="31" t="str">
        <f aca="false">IF($A10="","",SUMIFS(Diário!$G$5:$G$400,Diário!$A$5:$A$400,"&gt;="&amp;$A10,Diário!$A$5:$A$400,"&lt;="&amp;$B10))</f>
        <v/>
      </c>
      <c r="J10" s="32" t="str">
        <f aca="false">IF(A10="","",IF(H10=0,0,I10/H10))</f>
        <v/>
      </c>
      <c r="K10" s="15" t="str">
        <f aca="false">IF(A10="","",IF(I10=0,0,E10*Premissas!$C$5/I10))</f>
        <v/>
      </c>
      <c r="L10" s="33" t="str">
        <f aca="false">IF(A10="","",IF(I9=0,"n/d",I10/I9-1))</f>
        <v/>
      </c>
    </row>
    <row r="11" customFormat="false" ht="14.25" hidden="false" customHeight="true" outlineLevel="0" collapsed="false">
      <c r="A11" s="30" t="str">
        <f aca="false">IF(B10="","",IF(B10+1&gt;MAX(Diário!$A$5:$A$400),"",B10+1))</f>
        <v/>
      </c>
      <c r="B11" s="30" t="str">
        <f aca="false">IF(A11="","",A11+6)</f>
        <v/>
      </c>
      <c r="C11" s="14" t="str">
        <f aca="false">IF(A11="","",COUNTIFS(Diário!$A$5:$A$400,"&gt;="&amp;$A11,Diário!$A$5:$A$400,"&lt;="&amp;$B11))</f>
        <v/>
      </c>
      <c r="D11" s="14" t="str">
        <f aca="false">IF($A11="","",SUMIFS(Diário!$B$5:$B$400,Diário!$A$5:$A$400,"&gt;="&amp;$A11,Diário!$A$5:$A$400,"&lt;="&amp;$B11))</f>
        <v/>
      </c>
      <c r="E11" s="14" t="str">
        <f aca="false">IF($A11="","",SUMIFS(Diário!$E$5:$E$400,Diário!$A$5:$A$400,"&gt;="&amp;$A11,Diário!$A$5:$A$400,"&lt;="&amp;$B11))</f>
        <v/>
      </c>
      <c r="F11" s="14" t="str">
        <f aca="false">IF($A11="","",SUMIFS(Diário!$D$5:$D$400,Diário!$A$5:$A$400,"&gt;="&amp;$A11,Diário!$A$5:$A$400,"&lt;="&amp;$B11))</f>
        <v/>
      </c>
      <c r="G11" s="14" t="str">
        <f aca="false">IF($A11="","",SUMIFS(Diário!$C$5:$C$400,Diário!$A$5:$A$400,"&gt;="&amp;$A11,Diário!$A$5:$A$400,"&lt;="&amp;$B11))</f>
        <v/>
      </c>
      <c r="H11" s="14" t="str">
        <f aca="false">IF(A11="","",SUM(D11:G11))</f>
        <v/>
      </c>
      <c r="I11" s="31" t="str">
        <f aca="false">IF($A11="","",SUMIFS(Diário!$G$5:$G$400,Diário!$A$5:$A$400,"&gt;="&amp;$A11,Diário!$A$5:$A$400,"&lt;="&amp;$B11))</f>
        <v/>
      </c>
      <c r="J11" s="32" t="str">
        <f aca="false">IF(A11="","",IF(H11=0,0,I11/H11))</f>
        <v/>
      </c>
      <c r="K11" s="15" t="str">
        <f aca="false">IF(A11="","",IF(I11=0,0,E11*Premissas!$C$5/I11))</f>
        <v/>
      </c>
      <c r="L11" s="33" t="str">
        <f aca="false">IF(A11="","",IF(I10=0,"n/d",I11/I10-1))</f>
        <v/>
      </c>
    </row>
    <row r="12" customFormat="false" ht="14.25" hidden="false" customHeight="true" outlineLevel="0" collapsed="false">
      <c r="A12" s="30" t="str">
        <f aca="false">IF(B11="","",IF(B11+1&gt;MAX(Diário!$A$5:$A$400),"",B11+1))</f>
        <v/>
      </c>
      <c r="B12" s="30" t="str">
        <f aca="false">IF(A12="","",A12+6)</f>
        <v/>
      </c>
      <c r="C12" s="14" t="str">
        <f aca="false">IF(A12="","",COUNTIFS(Diário!$A$5:$A$400,"&gt;="&amp;$A12,Diário!$A$5:$A$400,"&lt;="&amp;$B12))</f>
        <v/>
      </c>
      <c r="D12" s="14" t="str">
        <f aca="false">IF($A12="","",SUMIFS(Diário!$B$5:$B$400,Diário!$A$5:$A$400,"&gt;="&amp;$A12,Diário!$A$5:$A$400,"&lt;="&amp;$B12))</f>
        <v/>
      </c>
      <c r="E12" s="14" t="str">
        <f aca="false">IF($A12="","",SUMIFS(Diário!$E$5:$E$400,Diário!$A$5:$A$400,"&gt;="&amp;$A12,Diário!$A$5:$A$400,"&lt;="&amp;$B12))</f>
        <v/>
      </c>
      <c r="F12" s="14" t="str">
        <f aca="false">IF($A12="","",SUMIFS(Diário!$D$5:$D$400,Diário!$A$5:$A$400,"&gt;="&amp;$A12,Diário!$A$5:$A$400,"&lt;="&amp;$B12))</f>
        <v/>
      </c>
      <c r="G12" s="14" t="str">
        <f aca="false">IF($A12="","",SUMIFS(Diário!$C$5:$C$400,Diário!$A$5:$A$400,"&gt;="&amp;$A12,Diário!$A$5:$A$400,"&lt;="&amp;$B12))</f>
        <v/>
      </c>
      <c r="H12" s="14" t="str">
        <f aca="false">IF(A12="","",SUM(D12:G12))</f>
        <v/>
      </c>
      <c r="I12" s="31" t="str">
        <f aca="false">IF($A12="","",SUMIFS(Diário!$G$5:$G$400,Diário!$A$5:$A$400,"&gt;="&amp;$A12,Diário!$A$5:$A$400,"&lt;="&amp;$B12))</f>
        <v/>
      </c>
      <c r="J12" s="32" t="str">
        <f aca="false">IF(A12="","",IF(H12=0,0,I12/H12))</f>
        <v/>
      </c>
      <c r="K12" s="15" t="str">
        <f aca="false">IF(A12="","",IF(I12=0,0,E12*Premissas!$C$5/I12))</f>
        <v/>
      </c>
      <c r="L12" s="33" t="str">
        <f aca="false">IF(A12="","",IF(I11=0,"n/d",I12/I11-1))</f>
        <v/>
      </c>
    </row>
    <row r="13" customFormat="false" ht="14.25" hidden="false" customHeight="true" outlineLevel="0" collapsed="false">
      <c r="A13" s="30" t="str">
        <f aca="false">IF(B12="","",IF(B12+1&gt;MAX(Diário!$A$5:$A$400),"",B12+1))</f>
        <v/>
      </c>
      <c r="B13" s="30" t="str">
        <f aca="false">IF(A13="","",A13+6)</f>
        <v/>
      </c>
      <c r="C13" s="14" t="str">
        <f aca="false">IF(A13="","",COUNTIFS(Diário!$A$5:$A$400,"&gt;="&amp;$A13,Diário!$A$5:$A$400,"&lt;="&amp;$B13))</f>
        <v/>
      </c>
      <c r="D13" s="14" t="str">
        <f aca="false">IF($A13="","",SUMIFS(Diário!$B$5:$B$400,Diário!$A$5:$A$400,"&gt;="&amp;$A13,Diário!$A$5:$A$400,"&lt;="&amp;$B13))</f>
        <v/>
      </c>
      <c r="E13" s="14" t="str">
        <f aca="false">IF($A13="","",SUMIFS(Diário!$E$5:$E$400,Diário!$A$5:$A$400,"&gt;="&amp;$A13,Diário!$A$5:$A$400,"&lt;="&amp;$B13))</f>
        <v/>
      </c>
      <c r="F13" s="14" t="str">
        <f aca="false">IF($A13="","",SUMIFS(Diário!$D$5:$D$400,Diário!$A$5:$A$400,"&gt;="&amp;$A13,Diário!$A$5:$A$400,"&lt;="&amp;$B13))</f>
        <v/>
      </c>
      <c r="G13" s="14" t="str">
        <f aca="false">IF($A13="","",SUMIFS(Diário!$C$5:$C$400,Diário!$A$5:$A$400,"&gt;="&amp;$A13,Diário!$A$5:$A$400,"&lt;="&amp;$B13))</f>
        <v/>
      </c>
      <c r="H13" s="14" t="str">
        <f aca="false">IF(A13="","",SUM(D13:G13))</f>
        <v/>
      </c>
      <c r="I13" s="31" t="str">
        <f aca="false">IF($A13="","",SUMIFS(Diário!$G$5:$G$400,Diário!$A$5:$A$400,"&gt;="&amp;$A13,Diário!$A$5:$A$400,"&lt;="&amp;$B13))</f>
        <v/>
      </c>
      <c r="J13" s="32" t="str">
        <f aca="false">IF(A13="","",IF(H13=0,0,I13/H13))</f>
        <v/>
      </c>
      <c r="K13" s="15" t="str">
        <f aca="false">IF(A13="","",IF(I13=0,0,E13*Premissas!$C$5/I13))</f>
        <v/>
      </c>
      <c r="L13" s="33" t="str">
        <f aca="false">IF(A13="","",IF(I12=0,"n/d",I13/I12-1))</f>
        <v/>
      </c>
    </row>
    <row r="14" customFormat="false" ht="14.25" hidden="false" customHeight="true" outlineLevel="0" collapsed="false">
      <c r="A14" s="30" t="str">
        <f aca="false">IF(B13="","",IF(B13+1&gt;MAX(Diário!$A$5:$A$400),"",B13+1))</f>
        <v/>
      </c>
      <c r="B14" s="30" t="str">
        <f aca="false">IF(A14="","",A14+6)</f>
        <v/>
      </c>
      <c r="C14" s="14" t="str">
        <f aca="false">IF(A14="","",COUNTIFS(Diário!$A$5:$A$400,"&gt;="&amp;$A14,Diário!$A$5:$A$400,"&lt;="&amp;$B14))</f>
        <v/>
      </c>
      <c r="D14" s="14" t="str">
        <f aca="false">IF($A14="","",SUMIFS(Diário!$B$5:$B$400,Diário!$A$5:$A$400,"&gt;="&amp;$A14,Diário!$A$5:$A$400,"&lt;="&amp;$B14))</f>
        <v/>
      </c>
      <c r="E14" s="14" t="str">
        <f aca="false">IF($A14="","",SUMIFS(Diário!$E$5:$E$400,Diário!$A$5:$A$400,"&gt;="&amp;$A14,Diário!$A$5:$A$400,"&lt;="&amp;$B14))</f>
        <v/>
      </c>
      <c r="F14" s="14" t="str">
        <f aca="false">IF($A14="","",SUMIFS(Diário!$D$5:$D$400,Diário!$A$5:$A$400,"&gt;="&amp;$A14,Diário!$A$5:$A$400,"&lt;="&amp;$B14))</f>
        <v/>
      </c>
      <c r="G14" s="14" t="str">
        <f aca="false">IF($A14="","",SUMIFS(Diário!$C$5:$C$400,Diário!$A$5:$A$400,"&gt;="&amp;$A14,Diário!$A$5:$A$400,"&lt;="&amp;$B14))</f>
        <v/>
      </c>
      <c r="H14" s="14" t="str">
        <f aca="false">IF(A14="","",SUM(D14:G14))</f>
        <v/>
      </c>
      <c r="I14" s="31" t="str">
        <f aca="false">IF($A14="","",SUMIFS(Diário!$G$5:$G$400,Diário!$A$5:$A$400,"&gt;="&amp;$A14,Diário!$A$5:$A$400,"&lt;="&amp;$B14))</f>
        <v/>
      </c>
      <c r="J14" s="32" t="str">
        <f aca="false">IF(A14="","",IF(H14=0,0,I14/H14))</f>
        <v/>
      </c>
      <c r="K14" s="15" t="str">
        <f aca="false">IF(A14="","",IF(I14=0,0,E14*Premissas!$C$5/I14))</f>
        <v/>
      </c>
      <c r="L14" s="33" t="str">
        <f aca="false">IF(A14="","",IF(I13=0,"n/d",I14/I13-1))</f>
        <v/>
      </c>
    </row>
    <row r="15" customFormat="false" ht="14.25" hidden="false" customHeight="true" outlineLevel="0" collapsed="false">
      <c r="A15" s="30" t="str">
        <f aca="false">IF(B14="","",IF(B14+1&gt;MAX(Diário!$A$5:$A$400),"",B14+1))</f>
        <v/>
      </c>
      <c r="B15" s="30" t="str">
        <f aca="false">IF(A15="","",A15+6)</f>
        <v/>
      </c>
      <c r="C15" s="14" t="str">
        <f aca="false">IF(A15="","",COUNTIFS(Diário!$A$5:$A$400,"&gt;="&amp;$A15,Diário!$A$5:$A$400,"&lt;="&amp;$B15))</f>
        <v/>
      </c>
      <c r="D15" s="14" t="str">
        <f aca="false">IF($A15="","",SUMIFS(Diário!$B$5:$B$400,Diário!$A$5:$A$400,"&gt;="&amp;$A15,Diário!$A$5:$A$400,"&lt;="&amp;$B15))</f>
        <v/>
      </c>
      <c r="E15" s="14" t="str">
        <f aca="false">IF($A15="","",SUMIFS(Diário!$E$5:$E$400,Diário!$A$5:$A$400,"&gt;="&amp;$A15,Diário!$A$5:$A$400,"&lt;="&amp;$B15))</f>
        <v/>
      </c>
      <c r="F15" s="14" t="str">
        <f aca="false">IF($A15="","",SUMIFS(Diário!$D$5:$D$400,Diário!$A$5:$A$400,"&gt;="&amp;$A15,Diário!$A$5:$A$400,"&lt;="&amp;$B15))</f>
        <v/>
      </c>
      <c r="G15" s="14" t="str">
        <f aca="false">IF($A15="","",SUMIFS(Diário!$C$5:$C$400,Diário!$A$5:$A$400,"&gt;="&amp;$A15,Diário!$A$5:$A$400,"&lt;="&amp;$B15))</f>
        <v/>
      </c>
      <c r="H15" s="14" t="str">
        <f aca="false">IF(A15="","",SUM(D15:G15))</f>
        <v/>
      </c>
      <c r="I15" s="31" t="str">
        <f aca="false">IF($A15="","",SUMIFS(Diário!$G$5:$G$400,Diário!$A$5:$A$400,"&gt;="&amp;$A15,Diário!$A$5:$A$400,"&lt;="&amp;$B15))</f>
        <v/>
      </c>
      <c r="J15" s="32" t="str">
        <f aca="false">IF(A15="","",IF(H15=0,0,I15/H15))</f>
        <v/>
      </c>
      <c r="K15" s="15" t="str">
        <f aca="false">IF(A15="","",IF(I15=0,0,E15*Premissas!$C$5/I15))</f>
        <v/>
      </c>
      <c r="L15" s="33" t="str">
        <f aca="false">IF(A15="","",IF(I14=0,"n/d",I15/I14-1))</f>
        <v/>
      </c>
    </row>
    <row r="16" customFormat="false" ht="14.25" hidden="false" customHeight="true" outlineLevel="0" collapsed="false">
      <c r="A16" s="30" t="str">
        <f aca="false">IF(B15="","",IF(B15+1&gt;MAX(Diário!$A$5:$A$400),"",B15+1))</f>
        <v/>
      </c>
      <c r="B16" s="30" t="str">
        <f aca="false">IF(A16="","",A16+6)</f>
        <v/>
      </c>
      <c r="C16" s="14" t="str">
        <f aca="false">IF(A16="","",COUNTIFS(Diário!$A$5:$A$400,"&gt;="&amp;$A16,Diário!$A$5:$A$400,"&lt;="&amp;$B16))</f>
        <v/>
      </c>
      <c r="D16" s="14" t="str">
        <f aca="false">IF($A16="","",SUMIFS(Diário!$B$5:$B$400,Diário!$A$5:$A$400,"&gt;="&amp;$A16,Diário!$A$5:$A$400,"&lt;="&amp;$B16))</f>
        <v/>
      </c>
      <c r="E16" s="14" t="str">
        <f aca="false">IF($A16="","",SUMIFS(Diário!$E$5:$E$400,Diário!$A$5:$A$400,"&gt;="&amp;$A16,Diário!$A$5:$A$400,"&lt;="&amp;$B16))</f>
        <v/>
      </c>
      <c r="F16" s="14" t="str">
        <f aca="false">IF($A16="","",SUMIFS(Diário!$D$5:$D$400,Diário!$A$5:$A$400,"&gt;="&amp;$A16,Diário!$A$5:$A$400,"&lt;="&amp;$B16))</f>
        <v/>
      </c>
      <c r="G16" s="14" t="str">
        <f aca="false">IF($A16="","",SUMIFS(Diário!$C$5:$C$400,Diário!$A$5:$A$400,"&gt;="&amp;$A16,Diário!$A$5:$A$400,"&lt;="&amp;$B16))</f>
        <v/>
      </c>
      <c r="H16" s="14" t="str">
        <f aca="false">IF(A16="","",SUM(D16:G16))</f>
        <v/>
      </c>
      <c r="I16" s="31" t="str">
        <f aca="false">IF($A16="","",SUMIFS(Diário!$G$5:$G$400,Diário!$A$5:$A$400,"&gt;="&amp;$A16,Diário!$A$5:$A$400,"&lt;="&amp;$B16))</f>
        <v/>
      </c>
      <c r="J16" s="32" t="str">
        <f aca="false">IF(A16="","",IF(H16=0,0,I16/H16))</f>
        <v/>
      </c>
      <c r="K16" s="15" t="str">
        <f aca="false">IF(A16="","",IF(I16=0,0,E16*Premissas!$C$5/I16))</f>
        <v/>
      </c>
      <c r="L16" s="33" t="str">
        <f aca="false">IF(A16="","",IF(I15=0,"n/d",I16/I15-1))</f>
        <v/>
      </c>
    </row>
    <row r="17" customFormat="false" ht="14.25" hidden="false" customHeight="true" outlineLevel="0" collapsed="false">
      <c r="A17" s="30" t="str">
        <f aca="false">IF(B16="","",IF(B16+1&gt;MAX(Diário!$A$5:$A$400),"",B16+1))</f>
        <v/>
      </c>
      <c r="B17" s="30" t="str">
        <f aca="false">IF(A17="","",A17+6)</f>
        <v/>
      </c>
      <c r="C17" s="14" t="str">
        <f aca="false">IF(A17="","",COUNTIFS(Diário!$A$5:$A$400,"&gt;="&amp;$A17,Diário!$A$5:$A$400,"&lt;="&amp;$B17))</f>
        <v/>
      </c>
      <c r="D17" s="14" t="str">
        <f aca="false">IF($A17="","",SUMIFS(Diário!$B$5:$B$400,Diário!$A$5:$A$400,"&gt;="&amp;$A17,Diário!$A$5:$A$400,"&lt;="&amp;$B17))</f>
        <v/>
      </c>
      <c r="E17" s="14" t="str">
        <f aca="false">IF($A17="","",SUMIFS(Diário!$E$5:$E$400,Diário!$A$5:$A$400,"&gt;="&amp;$A17,Diário!$A$5:$A$400,"&lt;="&amp;$B17))</f>
        <v/>
      </c>
      <c r="F17" s="14" t="str">
        <f aca="false">IF($A17="","",SUMIFS(Diário!$D$5:$D$400,Diário!$A$5:$A$400,"&gt;="&amp;$A17,Diário!$A$5:$A$400,"&lt;="&amp;$B17))</f>
        <v/>
      </c>
      <c r="G17" s="14" t="str">
        <f aca="false">IF($A17="","",SUMIFS(Diário!$C$5:$C$400,Diário!$A$5:$A$400,"&gt;="&amp;$A17,Diário!$A$5:$A$400,"&lt;="&amp;$B17))</f>
        <v/>
      </c>
      <c r="H17" s="14" t="str">
        <f aca="false">IF(A17="","",SUM(D17:G17))</f>
        <v/>
      </c>
      <c r="I17" s="31" t="str">
        <f aca="false">IF($A17="","",SUMIFS(Diário!$G$5:$G$400,Diário!$A$5:$A$400,"&gt;="&amp;$A17,Diário!$A$5:$A$400,"&lt;="&amp;$B17))</f>
        <v/>
      </c>
      <c r="J17" s="32" t="str">
        <f aca="false">IF(A17="","",IF(H17=0,0,I17/H17))</f>
        <v/>
      </c>
      <c r="K17" s="15" t="str">
        <f aca="false">IF(A17="","",IF(I17=0,0,E17*Premissas!$C$5/I17))</f>
        <v/>
      </c>
      <c r="L17" s="33" t="str">
        <f aca="false">IF(A17="","",IF(I16=0,"n/d",I17/I16-1))</f>
        <v/>
      </c>
    </row>
    <row r="18" customFormat="false" ht="14.25" hidden="false" customHeight="true" outlineLevel="0" collapsed="false">
      <c r="A18" s="30" t="str">
        <f aca="false">IF(B17="","",IF(B17+1&gt;MAX(Diário!$A$5:$A$400),"",B17+1))</f>
        <v/>
      </c>
      <c r="B18" s="30" t="str">
        <f aca="false">IF(A18="","",A18+6)</f>
        <v/>
      </c>
      <c r="C18" s="14" t="str">
        <f aca="false">IF(A18="","",COUNTIFS(Diário!$A$5:$A$400,"&gt;="&amp;$A18,Diário!$A$5:$A$400,"&lt;="&amp;$B18))</f>
        <v/>
      </c>
      <c r="D18" s="14" t="str">
        <f aca="false">IF($A18="","",SUMIFS(Diário!$B$5:$B$400,Diário!$A$5:$A$400,"&gt;="&amp;$A18,Diário!$A$5:$A$400,"&lt;="&amp;$B18))</f>
        <v/>
      </c>
      <c r="E18" s="14" t="str">
        <f aca="false">IF($A18="","",SUMIFS(Diário!$E$5:$E$400,Diário!$A$5:$A$400,"&gt;="&amp;$A18,Diário!$A$5:$A$400,"&lt;="&amp;$B18))</f>
        <v/>
      </c>
      <c r="F18" s="14" t="str">
        <f aca="false">IF($A18="","",SUMIFS(Diário!$D$5:$D$400,Diário!$A$5:$A$400,"&gt;="&amp;$A18,Diário!$A$5:$A$400,"&lt;="&amp;$B18))</f>
        <v/>
      </c>
      <c r="G18" s="14" t="str">
        <f aca="false">IF($A18="","",SUMIFS(Diário!$C$5:$C$400,Diário!$A$5:$A$400,"&gt;="&amp;$A18,Diário!$A$5:$A$400,"&lt;="&amp;$B18))</f>
        <v/>
      </c>
      <c r="H18" s="14" t="str">
        <f aca="false">IF(A18="","",SUM(D18:G18))</f>
        <v/>
      </c>
      <c r="I18" s="31" t="str">
        <f aca="false">IF($A18="","",SUMIFS(Diário!$G$5:$G$400,Diário!$A$5:$A$400,"&gt;="&amp;$A18,Diário!$A$5:$A$400,"&lt;="&amp;$B18))</f>
        <v/>
      </c>
      <c r="J18" s="32" t="str">
        <f aca="false">IF(A18="","",IF(H18=0,0,I18/H18))</f>
        <v/>
      </c>
      <c r="K18" s="15" t="str">
        <f aca="false">IF(A18="","",IF(I18=0,0,E18*Premissas!$C$5/I18))</f>
        <v/>
      </c>
      <c r="L18" s="33" t="str">
        <f aca="false">IF(A18="","",IF(I17=0,"n/d",I18/I17-1))</f>
        <v/>
      </c>
    </row>
    <row r="19" customFormat="false" ht="14.25" hidden="false" customHeight="true" outlineLevel="0" collapsed="false">
      <c r="A19" s="30" t="str">
        <f aca="false">IF(B18="","",IF(B18+1&gt;MAX(Diário!$A$5:$A$400),"",B18+1))</f>
        <v/>
      </c>
      <c r="B19" s="30" t="str">
        <f aca="false">IF(A19="","",A19+6)</f>
        <v/>
      </c>
      <c r="C19" s="14" t="str">
        <f aca="false">IF(A19="","",COUNTIFS(Diário!$A$5:$A$400,"&gt;="&amp;$A19,Diário!$A$5:$A$400,"&lt;="&amp;$B19))</f>
        <v/>
      </c>
      <c r="D19" s="14" t="str">
        <f aca="false">IF($A19="","",SUMIFS(Diário!$B$5:$B$400,Diário!$A$5:$A$400,"&gt;="&amp;$A19,Diário!$A$5:$A$400,"&lt;="&amp;$B19))</f>
        <v/>
      </c>
      <c r="E19" s="14" t="str">
        <f aca="false">IF($A19="","",SUMIFS(Diário!$E$5:$E$400,Diário!$A$5:$A$400,"&gt;="&amp;$A19,Diário!$A$5:$A$400,"&lt;="&amp;$B19))</f>
        <v/>
      </c>
      <c r="F19" s="14" t="str">
        <f aca="false">IF($A19="","",SUMIFS(Diário!$D$5:$D$400,Diário!$A$5:$A$400,"&gt;="&amp;$A19,Diário!$A$5:$A$400,"&lt;="&amp;$B19))</f>
        <v/>
      </c>
      <c r="G19" s="14" t="str">
        <f aca="false">IF($A19="","",SUMIFS(Diário!$C$5:$C$400,Diário!$A$5:$A$400,"&gt;="&amp;$A19,Diário!$A$5:$A$400,"&lt;="&amp;$B19))</f>
        <v/>
      </c>
      <c r="H19" s="14" t="str">
        <f aca="false">IF(A19="","",SUM(D19:G19))</f>
        <v/>
      </c>
      <c r="I19" s="31" t="str">
        <f aca="false">IF($A19="","",SUMIFS(Diário!$G$5:$G$400,Diário!$A$5:$A$400,"&gt;="&amp;$A19,Diário!$A$5:$A$400,"&lt;="&amp;$B19))</f>
        <v/>
      </c>
      <c r="J19" s="32" t="str">
        <f aca="false">IF(A19="","",IF(H19=0,0,I19/H19))</f>
        <v/>
      </c>
      <c r="K19" s="15" t="str">
        <f aca="false">IF(A19="","",IF(I19=0,0,E19*Premissas!$C$5/I19))</f>
        <v/>
      </c>
      <c r="L19" s="33" t="str">
        <f aca="false">IF(A19="","",IF(I18=0,"n/d",I19/I18-1))</f>
        <v/>
      </c>
    </row>
    <row r="20" customFormat="false" ht="14.25" hidden="false" customHeight="true" outlineLevel="0" collapsed="false">
      <c r="A20" s="30" t="str">
        <f aca="false">IF(B19="","",IF(B19+1&gt;MAX(Diário!$A$5:$A$400),"",B19+1))</f>
        <v/>
      </c>
      <c r="B20" s="30" t="str">
        <f aca="false">IF(A20="","",A20+6)</f>
        <v/>
      </c>
      <c r="C20" s="14" t="str">
        <f aca="false">IF(A20="","",COUNTIFS(Diário!$A$5:$A$400,"&gt;="&amp;$A20,Diário!$A$5:$A$400,"&lt;="&amp;$B20))</f>
        <v/>
      </c>
      <c r="D20" s="14" t="str">
        <f aca="false">IF($A20="","",SUMIFS(Diário!$B$5:$B$400,Diário!$A$5:$A$400,"&gt;="&amp;$A20,Diário!$A$5:$A$400,"&lt;="&amp;$B20))</f>
        <v/>
      </c>
      <c r="E20" s="14" t="str">
        <f aca="false">IF($A20="","",SUMIFS(Diário!$E$5:$E$400,Diário!$A$5:$A$400,"&gt;="&amp;$A20,Diário!$A$5:$A$400,"&lt;="&amp;$B20))</f>
        <v/>
      </c>
      <c r="F20" s="14" t="str">
        <f aca="false">IF($A20="","",SUMIFS(Diário!$D$5:$D$400,Diário!$A$5:$A$400,"&gt;="&amp;$A20,Diário!$A$5:$A$400,"&lt;="&amp;$B20))</f>
        <v/>
      </c>
      <c r="G20" s="14" t="str">
        <f aca="false">IF($A20="","",SUMIFS(Diário!$C$5:$C$400,Diário!$A$5:$A$400,"&gt;="&amp;$A20,Diário!$A$5:$A$400,"&lt;="&amp;$B20))</f>
        <v/>
      </c>
      <c r="H20" s="14" t="str">
        <f aca="false">IF(A20="","",SUM(D20:G20))</f>
        <v/>
      </c>
      <c r="I20" s="31" t="str">
        <f aca="false">IF($A20="","",SUMIFS(Diário!$G$5:$G$400,Diário!$A$5:$A$400,"&gt;="&amp;$A20,Diário!$A$5:$A$400,"&lt;="&amp;$B20))</f>
        <v/>
      </c>
      <c r="J20" s="32" t="str">
        <f aca="false">IF(A20="","",IF(H20=0,0,I20/H20))</f>
        <v/>
      </c>
      <c r="K20" s="15" t="str">
        <f aca="false">IF(A20="","",IF(I20=0,0,E20*Premissas!$C$5/I20))</f>
        <v/>
      </c>
      <c r="L20" s="33" t="str">
        <f aca="false">IF(A20="","",IF(I19=0,"n/d",I20/I19-1))</f>
        <v/>
      </c>
    </row>
    <row r="21" customFormat="false" ht="14.25" hidden="false" customHeight="true" outlineLevel="0" collapsed="false">
      <c r="A21" s="30" t="str">
        <f aca="false">IF(B20="","",IF(B20+1&gt;MAX(Diário!$A$5:$A$400),"",B20+1))</f>
        <v/>
      </c>
      <c r="B21" s="30" t="str">
        <f aca="false">IF(A21="","",A21+6)</f>
        <v/>
      </c>
      <c r="C21" s="14" t="str">
        <f aca="false">IF(A21="","",COUNTIFS(Diário!$A$5:$A$400,"&gt;="&amp;$A21,Diário!$A$5:$A$400,"&lt;="&amp;$B21))</f>
        <v/>
      </c>
      <c r="D21" s="14" t="str">
        <f aca="false">IF($A21="","",SUMIFS(Diário!$B$5:$B$400,Diário!$A$5:$A$400,"&gt;="&amp;$A21,Diário!$A$5:$A$400,"&lt;="&amp;$B21))</f>
        <v/>
      </c>
      <c r="E21" s="14" t="str">
        <f aca="false">IF($A21="","",SUMIFS(Diário!$E$5:$E$400,Diário!$A$5:$A$400,"&gt;="&amp;$A21,Diário!$A$5:$A$400,"&lt;="&amp;$B21))</f>
        <v/>
      </c>
      <c r="F21" s="14" t="str">
        <f aca="false">IF($A21="","",SUMIFS(Diário!$D$5:$D$400,Diário!$A$5:$A$400,"&gt;="&amp;$A21,Diário!$A$5:$A$400,"&lt;="&amp;$B21))</f>
        <v/>
      </c>
      <c r="G21" s="14" t="str">
        <f aca="false">IF($A21="","",SUMIFS(Diário!$C$5:$C$400,Diário!$A$5:$A$400,"&gt;="&amp;$A21,Diário!$A$5:$A$400,"&lt;="&amp;$B21))</f>
        <v/>
      </c>
      <c r="H21" s="14" t="str">
        <f aca="false">IF(A21="","",SUM(D21:G21))</f>
        <v/>
      </c>
      <c r="I21" s="31" t="str">
        <f aca="false">IF($A21="","",SUMIFS(Diário!$G$5:$G$400,Diário!$A$5:$A$400,"&gt;="&amp;$A21,Diário!$A$5:$A$400,"&lt;="&amp;$B21))</f>
        <v/>
      </c>
      <c r="J21" s="32" t="str">
        <f aca="false">IF(A21="","",IF(H21=0,0,I21/H21))</f>
        <v/>
      </c>
      <c r="K21" s="15" t="str">
        <f aca="false">IF(A21="","",IF(I21=0,0,E21*Premissas!$C$5/I21))</f>
        <v/>
      </c>
      <c r="L21" s="33" t="str">
        <f aca="false">IF(A21="","",IF(I20=0,"n/d",I21/I20-1))</f>
        <v/>
      </c>
    </row>
    <row r="22" customFormat="false" ht="14.25" hidden="false" customHeight="true" outlineLevel="0" collapsed="false">
      <c r="A22" s="30" t="str">
        <f aca="false">IF(B21="","",IF(B21+1&gt;MAX(Diário!$A$5:$A$400),"",B21+1))</f>
        <v/>
      </c>
      <c r="B22" s="30" t="str">
        <f aca="false">IF(A22="","",A22+6)</f>
        <v/>
      </c>
      <c r="C22" s="14" t="str">
        <f aca="false">IF(A22="","",COUNTIFS(Diário!$A$5:$A$400,"&gt;="&amp;$A22,Diário!$A$5:$A$400,"&lt;="&amp;$B22))</f>
        <v/>
      </c>
      <c r="D22" s="14" t="str">
        <f aca="false">IF($A22="","",SUMIFS(Diário!$B$5:$B$400,Diário!$A$5:$A$400,"&gt;="&amp;$A22,Diário!$A$5:$A$400,"&lt;="&amp;$B22))</f>
        <v/>
      </c>
      <c r="E22" s="14" t="str">
        <f aca="false">IF($A22="","",SUMIFS(Diário!$E$5:$E$400,Diário!$A$5:$A$400,"&gt;="&amp;$A22,Diário!$A$5:$A$400,"&lt;="&amp;$B22))</f>
        <v/>
      </c>
      <c r="F22" s="14" t="str">
        <f aca="false">IF($A22="","",SUMIFS(Diário!$D$5:$D$400,Diário!$A$5:$A$400,"&gt;="&amp;$A22,Diário!$A$5:$A$400,"&lt;="&amp;$B22))</f>
        <v/>
      </c>
      <c r="G22" s="14" t="str">
        <f aca="false">IF($A22="","",SUMIFS(Diário!$C$5:$C$400,Diário!$A$5:$A$400,"&gt;="&amp;$A22,Diário!$A$5:$A$400,"&lt;="&amp;$B22))</f>
        <v/>
      </c>
      <c r="H22" s="14" t="str">
        <f aca="false">IF(A22="","",SUM(D22:G22))</f>
        <v/>
      </c>
      <c r="I22" s="31" t="str">
        <f aca="false">IF($A22="","",SUMIFS(Diário!$G$5:$G$400,Diário!$A$5:$A$400,"&gt;="&amp;$A22,Diário!$A$5:$A$400,"&lt;="&amp;$B22))</f>
        <v/>
      </c>
      <c r="J22" s="32" t="str">
        <f aca="false">IF(A22="","",IF(H22=0,0,I22/H22))</f>
        <v/>
      </c>
      <c r="K22" s="15" t="str">
        <f aca="false">IF(A22="","",IF(I22=0,0,E22*Premissas!$C$5/I22))</f>
        <v/>
      </c>
      <c r="L22" s="33" t="str">
        <f aca="false">IF(A22="","",IF(I21=0,"n/d",I22/I21-1))</f>
        <v/>
      </c>
    </row>
    <row r="23" customFormat="false" ht="14.25" hidden="false" customHeight="true" outlineLevel="0" collapsed="false">
      <c r="A23" s="30" t="str">
        <f aca="false">IF(B22="","",IF(B22+1&gt;MAX(Diário!$A$5:$A$400),"",B22+1))</f>
        <v/>
      </c>
      <c r="B23" s="30" t="str">
        <f aca="false">IF(A23="","",A23+6)</f>
        <v/>
      </c>
      <c r="C23" s="14" t="str">
        <f aca="false">IF(A23="","",COUNTIFS(Diário!$A$5:$A$400,"&gt;="&amp;$A23,Diário!$A$5:$A$400,"&lt;="&amp;$B23))</f>
        <v/>
      </c>
      <c r="D23" s="14" t="str">
        <f aca="false">IF($A23="","",SUMIFS(Diário!$B$5:$B$400,Diário!$A$5:$A$400,"&gt;="&amp;$A23,Diário!$A$5:$A$400,"&lt;="&amp;$B23))</f>
        <v/>
      </c>
      <c r="E23" s="14" t="str">
        <f aca="false">IF($A23="","",SUMIFS(Diário!$E$5:$E$400,Diário!$A$5:$A$400,"&gt;="&amp;$A23,Diário!$A$5:$A$400,"&lt;="&amp;$B23))</f>
        <v/>
      </c>
      <c r="F23" s="14" t="str">
        <f aca="false">IF($A23="","",SUMIFS(Diário!$D$5:$D$400,Diário!$A$5:$A$400,"&gt;="&amp;$A23,Diário!$A$5:$A$400,"&lt;="&amp;$B23))</f>
        <v/>
      </c>
      <c r="G23" s="14" t="str">
        <f aca="false">IF($A23="","",SUMIFS(Diário!$C$5:$C$400,Diário!$A$5:$A$400,"&gt;="&amp;$A23,Diário!$A$5:$A$400,"&lt;="&amp;$B23))</f>
        <v/>
      </c>
      <c r="H23" s="14" t="str">
        <f aca="false">IF(A23="","",SUM(D23:G23))</f>
        <v/>
      </c>
      <c r="I23" s="31" t="str">
        <f aca="false">IF($A23="","",SUMIFS(Diário!$G$5:$G$400,Diário!$A$5:$A$400,"&gt;="&amp;$A23,Diário!$A$5:$A$400,"&lt;="&amp;$B23))</f>
        <v/>
      </c>
      <c r="J23" s="32" t="str">
        <f aca="false">IF(A23="","",IF(H23=0,0,I23/H23))</f>
        <v/>
      </c>
      <c r="K23" s="15" t="str">
        <f aca="false">IF(A23="","",IF(I23=0,0,E23*Premissas!$C$5/I23))</f>
        <v/>
      </c>
      <c r="L23" s="33" t="str">
        <f aca="false">IF(A23="","",IF(I22=0,"n/d",I23/I22-1))</f>
        <v/>
      </c>
    </row>
    <row r="24" customFormat="false" ht="14.25" hidden="false" customHeight="true" outlineLevel="0" collapsed="false">
      <c r="A24" s="30" t="str">
        <f aca="false">IF(B23="","",IF(B23+1&gt;MAX(Diário!$A$5:$A$400),"",B23+1))</f>
        <v/>
      </c>
      <c r="B24" s="30" t="str">
        <f aca="false">IF(A24="","",A24+6)</f>
        <v/>
      </c>
      <c r="C24" s="14" t="str">
        <f aca="false">IF(A24="","",COUNTIFS(Diário!$A$5:$A$400,"&gt;="&amp;$A24,Diário!$A$5:$A$400,"&lt;="&amp;$B24))</f>
        <v/>
      </c>
      <c r="D24" s="14" t="str">
        <f aca="false">IF($A24="","",SUMIFS(Diário!$B$5:$B$400,Diário!$A$5:$A$400,"&gt;="&amp;$A24,Diário!$A$5:$A$400,"&lt;="&amp;$B24))</f>
        <v/>
      </c>
      <c r="E24" s="14" t="str">
        <f aca="false">IF($A24="","",SUMIFS(Diário!$E$5:$E$400,Diário!$A$5:$A$400,"&gt;="&amp;$A24,Diário!$A$5:$A$400,"&lt;="&amp;$B24))</f>
        <v/>
      </c>
      <c r="F24" s="14" t="str">
        <f aca="false">IF($A24="","",SUMIFS(Diário!$D$5:$D$400,Diário!$A$5:$A$400,"&gt;="&amp;$A24,Diário!$A$5:$A$400,"&lt;="&amp;$B24))</f>
        <v/>
      </c>
      <c r="G24" s="14" t="str">
        <f aca="false">IF($A24="","",SUMIFS(Diário!$C$5:$C$400,Diário!$A$5:$A$400,"&gt;="&amp;$A24,Diário!$A$5:$A$400,"&lt;="&amp;$B24))</f>
        <v/>
      </c>
      <c r="H24" s="14" t="str">
        <f aca="false">IF(A24="","",SUM(D24:G24))</f>
        <v/>
      </c>
      <c r="I24" s="31" t="str">
        <f aca="false">IF($A24="","",SUMIFS(Diário!$G$5:$G$400,Diário!$A$5:$A$400,"&gt;="&amp;$A24,Diário!$A$5:$A$400,"&lt;="&amp;$B24))</f>
        <v/>
      </c>
      <c r="J24" s="32" t="str">
        <f aca="false">IF(A24="","",IF(H24=0,0,I24/H24))</f>
        <v/>
      </c>
      <c r="K24" s="15" t="str">
        <f aca="false">IF(A24="","",IF(I24=0,0,E24*Premissas!$C$5/I24))</f>
        <v/>
      </c>
      <c r="L24" s="33" t="str">
        <f aca="false">IF(A24="","",IF(I23=0,"n/d",I24/I23-1))</f>
        <v/>
      </c>
    </row>
    <row r="25" customFormat="false" ht="14.25" hidden="false" customHeight="true" outlineLevel="0" collapsed="false">
      <c r="A25" s="30" t="str">
        <f aca="false">IF(B24="","",IF(B24+1&gt;MAX(Diário!$A$5:$A$400),"",B24+1))</f>
        <v/>
      </c>
      <c r="B25" s="30" t="str">
        <f aca="false">IF(A25="","",A25+6)</f>
        <v/>
      </c>
      <c r="C25" s="14" t="str">
        <f aca="false">IF(A25="","",COUNTIFS(Diário!$A$5:$A$400,"&gt;="&amp;$A25,Diário!$A$5:$A$400,"&lt;="&amp;$B25))</f>
        <v/>
      </c>
      <c r="D25" s="14" t="str">
        <f aca="false">IF($A25="","",SUMIFS(Diário!$B$5:$B$400,Diário!$A$5:$A$400,"&gt;="&amp;$A25,Diário!$A$5:$A$400,"&lt;="&amp;$B25))</f>
        <v/>
      </c>
      <c r="E25" s="14" t="str">
        <f aca="false">IF($A25="","",SUMIFS(Diário!$E$5:$E$400,Diário!$A$5:$A$400,"&gt;="&amp;$A25,Diário!$A$5:$A$400,"&lt;="&amp;$B25))</f>
        <v/>
      </c>
      <c r="F25" s="14" t="str">
        <f aca="false">IF($A25="","",SUMIFS(Diário!$D$5:$D$400,Diário!$A$5:$A$400,"&gt;="&amp;$A25,Diário!$A$5:$A$400,"&lt;="&amp;$B25))</f>
        <v/>
      </c>
      <c r="G25" s="14" t="str">
        <f aca="false">IF($A25="","",SUMIFS(Diário!$C$5:$C$400,Diário!$A$5:$A$400,"&gt;="&amp;$A25,Diário!$A$5:$A$400,"&lt;="&amp;$B25))</f>
        <v/>
      </c>
      <c r="H25" s="14" t="str">
        <f aca="false">IF(A25="","",SUM(D25:G25))</f>
        <v/>
      </c>
      <c r="I25" s="31" t="str">
        <f aca="false">IF($A25="","",SUMIFS(Diário!$G$5:$G$400,Diário!$A$5:$A$400,"&gt;="&amp;$A25,Diário!$A$5:$A$400,"&lt;="&amp;$B25))</f>
        <v/>
      </c>
      <c r="J25" s="32" t="str">
        <f aca="false">IF(A25="","",IF(H25=0,0,I25/H25))</f>
        <v/>
      </c>
      <c r="K25" s="15" t="str">
        <f aca="false">IF(A25="","",IF(I25=0,0,E25*Premissas!$C$5/I25))</f>
        <v/>
      </c>
      <c r="L25" s="33" t="str">
        <f aca="false">IF(A25="","",IF(I24=0,"n/d",I25/I24-1))</f>
        <v/>
      </c>
    </row>
    <row r="26" customFormat="false" ht="14.25" hidden="false" customHeight="true" outlineLevel="0" collapsed="false">
      <c r="A26" s="30" t="str">
        <f aca="false">IF(B25="","",IF(B25+1&gt;MAX(Diário!$A$5:$A$400),"",B25+1))</f>
        <v/>
      </c>
      <c r="B26" s="30" t="str">
        <f aca="false">IF(A26="","",A26+6)</f>
        <v/>
      </c>
      <c r="C26" s="14" t="str">
        <f aca="false">IF(A26="","",COUNTIFS(Diário!$A$5:$A$400,"&gt;="&amp;$A26,Diário!$A$5:$A$400,"&lt;="&amp;$B26))</f>
        <v/>
      </c>
      <c r="D26" s="14" t="str">
        <f aca="false">IF($A26="","",SUMIFS(Diário!$B$5:$B$400,Diário!$A$5:$A$400,"&gt;="&amp;$A26,Diário!$A$5:$A$400,"&lt;="&amp;$B26))</f>
        <v/>
      </c>
      <c r="E26" s="14" t="str">
        <f aca="false">IF($A26="","",SUMIFS(Diário!$E$5:$E$400,Diário!$A$5:$A$400,"&gt;="&amp;$A26,Diário!$A$5:$A$400,"&lt;="&amp;$B26))</f>
        <v/>
      </c>
      <c r="F26" s="14" t="str">
        <f aca="false">IF($A26="","",SUMIFS(Diário!$D$5:$D$400,Diário!$A$5:$A$400,"&gt;="&amp;$A26,Diário!$A$5:$A$400,"&lt;="&amp;$B26))</f>
        <v/>
      </c>
      <c r="G26" s="14" t="str">
        <f aca="false">IF($A26="","",SUMIFS(Diário!$C$5:$C$400,Diário!$A$5:$A$400,"&gt;="&amp;$A26,Diário!$A$5:$A$400,"&lt;="&amp;$B26))</f>
        <v/>
      </c>
      <c r="H26" s="14" t="str">
        <f aca="false">IF(A26="","",SUM(D26:G26))</f>
        <v/>
      </c>
      <c r="I26" s="31" t="str">
        <f aca="false">IF($A26="","",SUMIFS(Diário!$G$5:$G$400,Diário!$A$5:$A$400,"&gt;="&amp;$A26,Diário!$A$5:$A$400,"&lt;="&amp;$B26))</f>
        <v/>
      </c>
      <c r="J26" s="32" t="str">
        <f aca="false">IF(A26="","",IF(H26=0,0,I26/H26))</f>
        <v/>
      </c>
      <c r="K26" s="15" t="str">
        <f aca="false">IF(A26="","",IF(I26=0,0,E26*Premissas!$C$5/I26))</f>
        <v/>
      </c>
      <c r="L26" s="33" t="str">
        <f aca="false">IF(A26="","",IF(I25=0,"n/d",I26/I25-1))</f>
        <v/>
      </c>
    </row>
    <row r="27" customFormat="false" ht="14.25" hidden="false" customHeight="true" outlineLevel="0" collapsed="false">
      <c r="A27" s="30" t="str">
        <f aca="false">IF(B26="","",IF(B26+1&gt;MAX(Diário!$A$5:$A$400),"",B26+1))</f>
        <v/>
      </c>
      <c r="B27" s="30" t="str">
        <f aca="false">IF(A27="","",A27+6)</f>
        <v/>
      </c>
      <c r="C27" s="14" t="str">
        <f aca="false">IF(A27="","",COUNTIFS(Diário!$A$5:$A$400,"&gt;="&amp;$A27,Diário!$A$5:$A$400,"&lt;="&amp;$B27))</f>
        <v/>
      </c>
      <c r="D27" s="14" t="str">
        <f aca="false">IF($A27="","",SUMIFS(Diário!$B$5:$B$400,Diário!$A$5:$A$400,"&gt;="&amp;$A27,Diário!$A$5:$A$400,"&lt;="&amp;$B27))</f>
        <v/>
      </c>
      <c r="E27" s="14" t="str">
        <f aca="false">IF($A27="","",SUMIFS(Diário!$E$5:$E$400,Diário!$A$5:$A$400,"&gt;="&amp;$A27,Diário!$A$5:$A$400,"&lt;="&amp;$B27))</f>
        <v/>
      </c>
      <c r="F27" s="14" t="str">
        <f aca="false">IF($A27="","",SUMIFS(Diário!$D$5:$D$400,Diário!$A$5:$A$400,"&gt;="&amp;$A27,Diário!$A$5:$A$400,"&lt;="&amp;$B27))</f>
        <v/>
      </c>
      <c r="G27" s="14" t="str">
        <f aca="false">IF($A27="","",SUMIFS(Diário!$C$5:$C$400,Diário!$A$5:$A$400,"&gt;="&amp;$A27,Diário!$A$5:$A$400,"&lt;="&amp;$B27))</f>
        <v/>
      </c>
      <c r="H27" s="14" t="str">
        <f aca="false">IF(A27="","",SUM(D27:G27))</f>
        <v/>
      </c>
      <c r="I27" s="31" t="str">
        <f aca="false">IF($A27="","",SUMIFS(Diário!$G$5:$G$400,Diário!$A$5:$A$400,"&gt;="&amp;$A27,Diário!$A$5:$A$400,"&lt;="&amp;$B27))</f>
        <v/>
      </c>
      <c r="J27" s="32" t="str">
        <f aca="false">IF(A27="","",IF(H27=0,0,I27/H27))</f>
        <v/>
      </c>
      <c r="K27" s="15" t="str">
        <f aca="false">IF(A27="","",IF(I27=0,0,E27*Premissas!$C$5/I27))</f>
        <v/>
      </c>
      <c r="L27" s="33" t="str">
        <f aca="false">IF(A27="","",IF(I26=0,"n/d",I27/I26-1))</f>
        <v/>
      </c>
    </row>
    <row r="28" customFormat="false" ht="14.25" hidden="false" customHeight="true" outlineLevel="0" collapsed="false">
      <c r="A28" s="30" t="str">
        <f aca="false">IF(B27="","",IF(B27+1&gt;MAX(Diário!$A$5:$A$400),"",B27+1))</f>
        <v/>
      </c>
      <c r="B28" s="30" t="str">
        <f aca="false">IF(A28="","",A28+6)</f>
        <v/>
      </c>
      <c r="C28" s="14" t="str">
        <f aca="false">IF(A28="","",COUNTIFS(Diário!$A$5:$A$400,"&gt;="&amp;$A28,Diário!$A$5:$A$400,"&lt;="&amp;$B28))</f>
        <v/>
      </c>
      <c r="D28" s="14" t="str">
        <f aca="false">IF($A28="","",SUMIFS(Diário!$B$5:$B$400,Diário!$A$5:$A$400,"&gt;="&amp;$A28,Diário!$A$5:$A$400,"&lt;="&amp;$B28))</f>
        <v/>
      </c>
      <c r="E28" s="14" t="str">
        <f aca="false">IF($A28="","",SUMIFS(Diário!$E$5:$E$400,Diário!$A$5:$A$400,"&gt;="&amp;$A28,Diário!$A$5:$A$400,"&lt;="&amp;$B28))</f>
        <v/>
      </c>
      <c r="F28" s="14" t="str">
        <f aca="false">IF($A28="","",SUMIFS(Diário!$D$5:$D$400,Diário!$A$5:$A$400,"&gt;="&amp;$A28,Diário!$A$5:$A$400,"&lt;="&amp;$B28))</f>
        <v/>
      </c>
      <c r="G28" s="14" t="str">
        <f aca="false">IF($A28="","",SUMIFS(Diário!$C$5:$C$400,Diário!$A$5:$A$400,"&gt;="&amp;$A28,Diário!$A$5:$A$400,"&lt;="&amp;$B28))</f>
        <v/>
      </c>
      <c r="H28" s="14" t="str">
        <f aca="false">IF(A28="","",SUM(D28:G28))</f>
        <v/>
      </c>
      <c r="I28" s="31" t="str">
        <f aca="false">IF($A28="","",SUMIFS(Diário!$G$5:$G$400,Diário!$A$5:$A$400,"&gt;="&amp;$A28,Diário!$A$5:$A$400,"&lt;="&amp;$B28))</f>
        <v/>
      </c>
      <c r="J28" s="32" t="str">
        <f aca="false">IF(A28="","",IF(H28=0,0,I28/H28))</f>
        <v/>
      </c>
      <c r="K28" s="15" t="str">
        <f aca="false">IF(A28="","",IF(I28=0,0,E28*Premissas!$C$5/I28))</f>
        <v/>
      </c>
      <c r="L28" s="33" t="str">
        <f aca="false">IF(A28="","",IF(I27=0,"n/d",I28/I27-1))</f>
        <v/>
      </c>
    </row>
    <row r="29" customFormat="false" ht="14.25" hidden="false" customHeight="true" outlineLevel="0" collapsed="false">
      <c r="A29" s="30" t="str">
        <f aca="false">IF(B28="","",IF(B28+1&gt;MAX(Diário!$A$5:$A$400),"",B28+1))</f>
        <v/>
      </c>
      <c r="B29" s="30" t="str">
        <f aca="false">IF(A29="","",A29+6)</f>
        <v/>
      </c>
      <c r="C29" s="14" t="str">
        <f aca="false">IF(A29="","",COUNTIFS(Diário!$A$5:$A$400,"&gt;="&amp;$A29,Diário!$A$5:$A$400,"&lt;="&amp;$B29))</f>
        <v/>
      </c>
      <c r="D29" s="14" t="str">
        <f aca="false">IF($A29="","",SUMIFS(Diário!$B$5:$B$400,Diário!$A$5:$A$400,"&gt;="&amp;$A29,Diário!$A$5:$A$400,"&lt;="&amp;$B29))</f>
        <v/>
      </c>
      <c r="E29" s="14" t="str">
        <f aca="false">IF($A29="","",SUMIFS(Diário!$E$5:$E$400,Diário!$A$5:$A$400,"&gt;="&amp;$A29,Diário!$A$5:$A$400,"&lt;="&amp;$B29))</f>
        <v/>
      </c>
      <c r="F29" s="14" t="str">
        <f aca="false">IF($A29="","",SUMIFS(Diário!$D$5:$D$400,Diário!$A$5:$A$400,"&gt;="&amp;$A29,Diário!$A$5:$A$400,"&lt;="&amp;$B29))</f>
        <v/>
      </c>
      <c r="G29" s="14" t="str">
        <f aca="false">IF($A29="","",SUMIFS(Diário!$C$5:$C$400,Diário!$A$5:$A$400,"&gt;="&amp;$A29,Diário!$A$5:$A$400,"&lt;="&amp;$B29))</f>
        <v/>
      </c>
      <c r="H29" s="14" t="str">
        <f aca="false">IF(A29="","",SUM(D29:G29))</f>
        <v/>
      </c>
      <c r="I29" s="31" t="str">
        <f aca="false">IF($A29="","",SUMIFS(Diário!$G$5:$G$400,Diário!$A$5:$A$400,"&gt;="&amp;$A29,Diário!$A$5:$A$400,"&lt;="&amp;$B29))</f>
        <v/>
      </c>
      <c r="J29" s="32" t="str">
        <f aca="false">IF(A29="","",IF(H29=0,0,I29/H29))</f>
        <v/>
      </c>
      <c r="K29" s="15" t="str">
        <f aca="false">IF(A29="","",IF(I29=0,0,E29*Premissas!$C$5/I29))</f>
        <v/>
      </c>
      <c r="L29" s="33" t="str">
        <f aca="false">IF(A29="","",IF(I28=0,"n/d",I29/I28-1))</f>
        <v/>
      </c>
    </row>
    <row r="30" customFormat="false" ht="14.25" hidden="false" customHeight="true" outlineLevel="0" collapsed="false">
      <c r="A30" s="30" t="str">
        <f aca="false">IF(B29="","",IF(B29+1&gt;MAX(Diário!$A$5:$A$400),"",B29+1))</f>
        <v/>
      </c>
      <c r="B30" s="30" t="str">
        <f aca="false">IF(A30="","",A30+6)</f>
        <v/>
      </c>
      <c r="C30" s="14" t="str">
        <f aca="false">IF(A30="","",COUNTIFS(Diário!$A$5:$A$400,"&gt;="&amp;$A30,Diário!$A$5:$A$400,"&lt;="&amp;$B30))</f>
        <v/>
      </c>
      <c r="D30" s="14" t="str">
        <f aca="false">IF($A30="","",SUMIFS(Diário!$B$5:$B$400,Diário!$A$5:$A$400,"&gt;="&amp;$A30,Diário!$A$5:$A$400,"&lt;="&amp;$B30))</f>
        <v/>
      </c>
      <c r="E30" s="14" t="str">
        <f aca="false">IF($A30="","",SUMIFS(Diário!$E$5:$E$400,Diário!$A$5:$A$400,"&gt;="&amp;$A30,Diário!$A$5:$A$400,"&lt;="&amp;$B30))</f>
        <v/>
      </c>
      <c r="F30" s="14" t="str">
        <f aca="false">IF($A30="","",SUMIFS(Diário!$D$5:$D$400,Diário!$A$5:$A$400,"&gt;="&amp;$A30,Diário!$A$5:$A$400,"&lt;="&amp;$B30))</f>
        <v/>
      </c>
      <c r="G30" s="14" t="str">
        <f aca="false">IF($A30="","",SUMIFS(Diário!$C$5:$C$400,Diário!$A$5:$A$400,"&gt;="&amp;$A30,Diário!$A$5:$A$400,"&lt;="&amp;$B30))</f>
        <v/>
      </c>
      <c r="H30" s="14" t="str">
        <f aca="false">IF(A30="","",SUM(D30:G30))</f>
        <v/>
      </c>
      <c r="I30" s="31" t="str">
        <f aca="false">IF($A30="","",SUMIFS(Diário!$G$5:$G$400,Diário!$A$5:$A$400,"&gt;="&amp;$A30,Diário!$A$5:$A$400,"&lt;="&amp;$B30))</f>
        <v/>
      </c>
      <c r="J30" s="32" t="str">
        <f aca="false">IF(A30="","",IF(H30=0,0,I30/H30))</f>
        <v/>
      </c>
      <c r="K30" s="15" t="str">
        <f aca="false">IF(A30="","",IF(I30=0,0,E30*Premissas!$C$5/I30))</f>
        <v/>
      </c>
      <c r="L30" s="33" t="str">
        <f aca="false">IF(A30="","",IF(I29=0,"n/d",I30/I29-1))</f>
        <v/>
      </c>
    </row>
    <row r="31" customFormat="false" ht="14.25" hidden="false" customHeight="true" outlineLevel="0" collapsed="false">
      <c r="A31" s="30" t="str">
        <f aca="false">IF(B30="","",IF(B30+1&gt;MAX(Diário!$A$5:$A$400),"",B30+1))</f>
        <v/>
      </c>
      <c r="B31" s="30" t="str">
        <f aca="false">IF(A31="","",A31+6)</f>
        <v/>
      </c>
      <c r="C31" s="14" t="str">
        <f aca="false">IF(A31="","",COUNTIFS(Diário!$A$5:$A$400,"&gt;="&amp;$A31,Diário!$A$5:$A$400,"&lt;="&amp;$B31))</f>
        <v/>
      </c>
      <c r="D31" s="14" t="str">
        <f aca="false">IF($A31="","",SUMIFS(Diário!$B$5:$B$400,Diário!$A$5:$A$400,"&gt;="&amp;$A31,Diário!$A$5:$A$400,"&lt;="&amp;$B31))</f>
        <v/>
      </c>
      <c r="E31" s="14" t="str">
        <f aca="false">IF($A31="","",SUMIFS(Diário!$E$5:$E$400,Diário!$A$5:$A$400,"&gt;="&amp;$A31,Diário!$A$5:$A$400,"&lt;="&amp;$B31))</f>
        <v/>
      </c>
      <c r="F31" s="14" t="str">
        <f aca="false">IF($A31="","",SUMIFS(Diário!$D$5:$D$400,Diário!$A$5:$A$400,"&gt;="&amp;$A31,Diário!$A$5:$A$400,"&lt;="&amp;$B31))</f>
        <v/>
      </c>
      <c r="G31" s="14" t="str">
        <f aca="false">IF($A31="","",SUMIFS(Diário!$C$5:$C$400,Diário!$A$5:$A$400,"&gt;="&amp;$A31,Diário!$A$5:$A$400,"&lt;="&amp;$B31))</f>
        <v/>
      </c>
      <c r="H31" s="14" t="str">
        <f aca="false">IF(A31="","",SUM(D31:G31))</f>
        <v/>
      </c>
      <c r="I31" s="31" t="str">
        <f aca="false">IF($A31="","",SUMIFS(Diário!$G$5:$G$400,Diário!$A$5:$A$400,"&gt;="&amp;$A31,Diário!$A$5:$A$400,"&lt;="&amp;$B31))</f>
        <v/>
      </c>
      <c r="J31" s="32" t="str">
        <f aca="false">IF(A31="","",IF(H31=0,0,I31/H31))</f>
        <v/>
      </c>
      <c r="K31" s="15" t="str">
        <f aca="false">IF(A31="","",IF(I31=0,0,E31*Premissas!$C$5/I31))</f>
        <v/>
      </c>
      <c r="L31" s="33" t="str">
        <f aca="false">IF(A31="","",IF(I30=0,"n/d",I31/I30-1))</f>
        <v/>
      </c>
    </row>
    <row r="32" customFormat="false" ht="14.25" hidden="false" customHeight="true" outlineLevel="0" collapsed="false">
      <c r="A32" s="30" t="str">
        <f aca="false">IF(B31="","",IF(B31+1&gt;MAX(Diário!$A$5:$A$400),"",B31+1))</f>
        <v/>
      </c>
      <c r="B32" s="30" t="str">
        <f aca="false">IF(A32="","",A32+6)</f>
        <v/>
      </c>
      <c r="C32" s="14" t="str">
        <f aca="false">IF(A32="","",COUNTIFS(Diário!$A$5:$A$400,"&gt;="&amp;$A32,Diário!$A$5:$A$400,"&lt;="&amp;$B32))</f>
        <v/>
      </c>
      <c r="D32" s="14" t="str">
        <f aca="false">IF($A32="","",SUMIFS(Diário!$B$5:$B$400,Diário!$A$5:$A$400,"&gt;="&amp;$A32,Diário!$A$5:$A$400,"&lt;="&amp;$B32))</f>
        <v/>
      </c>
      <c r="E32" s="14" t="str">
        <f aca="false">IF($A32="","",SUMIFS(Diário!$E$5:$E$400,Diário!$A$5:$A$400,"&gt;="&amp;$A32,Diário!$A$5:$A$400,"&lt;="&amp;$B32))</f>
        <v/>
      </c>
      <c r="F32" s="14" t="str">
        <f aca="false">IF($A32="","",SUMIFS(Diário!$D$5:$D$400,Diário!$A$5:$A$400,"&gt;="&amp;$A32,Diário!$A$5:$A$400,"&lt;="&amp;$B32))</f>
        <v/>
      </c>
      <c r="G32" s="14" t="str">
        <f aca="false">IF($A32="","",SUMIFS(Diário!$C$5:$C$400,Diário!$A$5:$A$400,"&gt;="&amp;$A32,Diário!$A$5:$A$400,"&lt;="&amp;$B32))</f>
        <v/>
      </c>
      <c r="H32" s="14" t="str">
        <f aca="false">IF(A32="","",SUM(D32:G32))</f>
        <v/>
      </c>
      <c r="I32" s="31" t="str">
        <f aca="false">IF($A32="","",SUMIFS(Diário!$G$5:$G$400,Diário!$A$5:$A$400,"&gt;="&amp;$A32,Diário!$A$5:$A$400,"&lt;="&amp;$B32))</f>
        <v/>
      </c>
      <c r="J32" s="32" t="str">
        <f aca="false">IF(A32="","",IF(H32=0,0,I32/H32))</f>
        <v/>
      </c>
      <c r="K32" s="15" t="str">
        <f aca="false">IF(A32="","",IF(I32=0,0,E32*Premissas!$C$5/I32))</f>
        <v/>
      </c>
      <c r="L32" s="33" t="str">
        <f aca="false">IF(A32="","",IF(I31=0,"n/d",I32/I31-1))</f>
        <v/>
      </c>
    </row>
    <row r="33" customFormat="false" ht="14.25" hidden="false" customHeight="true" outlineLevel="0" collapsed="false">
      <c r="A33" s="30" t="str">
        <f aca="false">IF(B32="","",IF(B32+1&gt;MAX(Diário!$A$5:$A$400),"",B32+1))</f>
        <v/>
      </c>
      <c r="B33" s="30" t="str">
        <f aca="false">IF(A33="","",A33+6)</f>
        <v/>
      </c>
      <c r="C33" s="14" t="str">
        <f aca="false">IF(A33="","",COUNTIFS(Diário!$A$5:$A$400,"&gt;="&amp;$A33,Diário!$A$5:$A$400,"&lt;="&amp;$B33))</f>
        <v/>
      </c>
      <c r="D33" s="14" t="str">
        <f aca="false">IF($A33="","",SUMIFS(Diário!$B$5:$B$400,Diário!$A$5:$A$400,"&gt;="&amp;$A33,Diário!$A$5:$A$400,"&lt;="&amp;$B33))</f>
        <v/>
      </c>
      <c r="E33" s="14" t="str">
        <f aca="false">IF($A33="","",SUMIFS(Diário!$E$5:$E$400,Diário!$A$5:$A$400,"&gt;="&amp;$A33,Diário!$A$5:$A$400,"&lt;="&amp;$B33))</f>
        <v/>
      </c>
      <c r="F33" s="14" t="str">
        <f aca="false">IF($A33="","",SUMIFS(Diário!$D$5:$D$400,Diário!$A$5:$A$400,"&gt;="&amp;$A33,Diário!$A$5:$A$400,"&lt;="&amp;$B33))</f>
        <v/>
      </c>
      <c r="G33" s="14" t="str">
        <f aca="false">IF($A33="","",SUMIFS(Diário!$C$5:$C$400,Diário!$A$5:$A$400,"&gt;="&amp;$A33,Diário!$A$5:$A$400,"&lt;="&amp;$B33))</f>
        <v/>
      </c>
      <c r="H33" s="14" t="str">
        <f aca="false">IF(A33="","",SUM(D33:G33))</f>
        <v/>
      </c>
      <c r="I33" s="31" t="str">
        <f aca="false">IF($A33="","",SUMIFS(Diário!$G$5:$G$400,Diário!$A$5:$A$400,"&gt;="&amp;$A33,Diário!$A$5:$A$400,"&lt;="&amp;$B33))</f>
        <v/>
      </c>
      <c r="J33" s="32" t="str">
        <f aca="false">IF(A33="","",IF(H33=0,0,I33/H33))</f>
        <v/>
      </c>
      <c r="K33" s="15" t="str">
        <f aca="false">IF(A33="","",IF(I33=0,0,E33*Premissas!$C$5/I33))</f>
        <v/>
      </c>
      <c r="L33" s="33" t="str">
        <f aca="false">IF(A33="","",IF(I32=0,"n/d",I33/I32-1))</f>
        <v/>
      </c>
    </row>
    <row r="34" customFormat="false" ht="14.25" hidden="false" customHeight="true" outlineLevel="0" collapsed="false">
      <c r="A34" s="30" t="str">
        <f aca="false">IF(B33="","",IF(B33+1&gt;MAX(Diário!$A$5:$A$400),"",B33+1))</f>
        <v/>
      </c>
      <c r="B34" s="30" t="str">
        <f aca="false">IF(A34="","",A34+6)</f>
        <v/>
      </c>
      <c r="C34" s="14" t="str">
        <f aca="false">IF(A34="","",COUNTIFS(Diário!$A$5:$A$400,"&gt;="&amp;$A34,Diário!$A$5:$A$400,"&lt;="&amp;$B34))</f>
        <v/>
      </c>
      <c r="D34" s="14" t="str">
        <f aca="false">IF($A34="","",SUMIFS(Diário!$B$5:$B$400,Diário!$A$5:$A$400,"&gt;="&amp;$A34,Diário!$A$5:$A$400,"&lt;="&amp;$B34))</f>
        <v/>
      </c>
      <c r="E34" s="14" t="str">
        <f aca="false">IF($A34="","",SUMIFS(Diário!$E$5:$E$400,Diário!$A$5:$A$400,"&gt;="&amp;$A34,Diário!$A$5:$A$400,"&lt;="&amp;$B34))</f>
        <v/>
      </c>
      <c r="F34" s="14" t="str">
        <f aca="false">IF($A34="","",SUMIFS(Diário!$D$5:$D$400,Diário!$A$5:$A$400,"&gt;="&amp;$A34,Diário!$A$5:$A$400,"&lt;="&amp;$B34))</f>
        <v/>
      </c>
      <c r="G34" s="14" t="str">
        <f aca="false">IF($A34="","",SUMIFS(Diário!$C$5:$C$400,Diário!$A$5:$A$400,"&gt;="&amp;$A34,Diário!$A$5:$A$400,"&lt;="&amp;$B34))</f>
        <v/>
      </c>
      <c r="H34" s="14" t="str">
        <f aca="false">IF(A34="","",SUM(D34:G34))</f>
        <v/>
      </c>
      <c r="I34" s="31" t="str">
        <f aca="false">IF($A34="","",SUMIFS(Diário!$G$5:$G$400,Diário!$A$5:$A$400,"&gt;="&amp;$A34,Diário!$A$5:$A$400,"&lt;="&amp;$B34))</f>
        <v/>
      </c>
      <c r="J34" s="32" t="str">
        <f aca="false">IF(A34="","",IF(H34=0,0,I34/H34))</f>
        <v/>
      </c>
      <c r="K34" s="15" t="str">
        <f aca="false">IF(A34="","",IF(I34=0,0,E34*Premissas!$C$5/I34))</f>
        <v/>
      </c>
      <c r="L34" s="33" t="str">
        <f aca="false">IF(A34="","",IF(I33=0,"n/d",I34/I33-1))</f>
        <v/>
      </c>
    </row>
    <row r="35" customFormat="false" ht="14.25" hidden="false" customHeight="true" outlineLevel="0" collapsed="false">
      <c r="A35" s="30" t="str">
        <f aca="false">IF(B34="","",IF(B34+1&gt;MAX(Diário!$A$5:$A$400),"",B34+1))</f>
        <v/>
      </c>
      <c r="B35" s="30" t="str">
        <f aca="false">IF(A35="","",A35+6)</f>
        <v/>
      </c>
      <c r="C35" s="14" t="str">
        <f aca="false">IF(A35="","",COUNTIFS(Diário!$A$5:$A$400,"&gt;="&amp;$A35,Diário!$A$5:$A$400,"&lt;="&amp;$B35))</f>
        <v/>
      </c>
      <c r="D35" s="14" t="str">
        <f aca="false">IF($A35="","",SUMIFS(Diário!$B$5:$B$400,Diário!$A$5:$A$400,"&gt;="&amp;$A35,Diário!$A$5:$A$400,"&lt;="&amp;$B35))</f>
        <v/>
      </c>
      <c r="E35" s="14" t="str">
        <f aca="false">IF($A35="","",SUMIFS(Diário!$E$5:$E$400,Diário!$A$5:$A$400,"&gt;="&amp;$A35,Diário!$A$5:$A$400,"&lt;="&amp;$B35))</f>
        <v/>
      </c>
      <c r="F35" s="14" t="str">
        <f aca="false">IF($A35="","",SUMIFS(Diário!$D$5:$D$400,Diário!$A$5:$A$400,"&gt;="&amp;$A35,Diário!$A$5:$A$400,"&lt;="&amp;$B35))</f>
        <v/>
      </c>
      <c r="G35" s="14" t="str">
        <f aca="false">IF($A35="","",SUMIFS(Diário!$C$5:$C$400,Diário!$A$5:$A$400,"&gt;="&amp;$A35,Diário!$A$5:$A$400,"&lt;="&amp;$B35))</f>
        <v/>
      </c>
      <c r="H35" s="14" t="str">
        <f aca="false">IF(A35="","",SUM(D35:G35))</f>
        <v/>
      </c>
      <c r="I35" s="31" t="str">
        <f aca="false">IF($A35="","",SUMIFS(Diário!$G$5:$G$400,Diário!$A$5:$A$400,"&gt;="&amp;$A35,Diário!$A$5:$A$400,"&lt;="&amp;$B35))</f>
        <v/>
      </c>
      <c r="J35" s="32" t="str">
        <f aca="false">IF(A35="","",IF(H35=0,0,I35/H35))</f>
        <v/>
      </c>
      <c r="K35" s="15" t="str">
        <f aca="false">IF(A35="","",IF(I35=0,0,E35*Premissas!$C$5/I35))</f>
        <v/>
      </c>
      <c r="L35" s="33" t="str">
        <f aca="false">IF(A35="","",IF(I34=0,"n/d",I35/I34-1))</f>
        <v/>
      </c>
    </row>
    <row r="36" customFormat="false" ht="14.25" hidden="false" customHeight="true" outlineLevel="0" collapsed="false">
      <c r="A36" s="30" t="str">
        <f aca="false">IF(B35="","",IF(B35+1&gt;MAX(Diário!$A$5:$A$400),"",B35+1))</f>
        <v/>
      </c>
      <c r="B36" s="30" t="str">
        <f aca="false">IF(A36="","",A36+6)</f>
        <v/>
      </c>
      <c r="C36" s="14" t="str">
        <f aca="false">IF(A36="","",COUNTIFS(Diário!$A$5:$A$400,"&gt;="&amp;$A36,Diário!$A$5:$A$400,"&lt;="&amp;$B36))</f>
        <v/>
      </c>
      <c r="D36" s="14" t="str">
        <f aca="false">IF($A36="","",SUMIFS(Diário!$B$5:$B$400,Diário!$A$5:$A$400,"&gt;="&amp;$A36,Diário!$A$5:$A$400,"&lt;="&amp;$B36))</f>
        <v/>
      </c>
      <c r="E36" s="14" t="str">
        <f aca="false">IF($A36="","",SUMIFS(Diário!$E$5:$E$400,Diário!$A$5:$A$400,"&gt;="&amp;$A36,Diário!$A$5:$A$400,"&lt;="&amp;$B36))</f>
        <v/>
      </c>
      <c r="F36" s="14" t="str">
        <f aca="false">IF($A36="","",SUMIFS(Diário!$D$5:$D$400,Diário!$A$5:$A$400,"&gt;="&amp;$A36,Diário!$A$5:$A$400,"&lt;="&amp;$B36))</f>
        <v/>
      </c>
      <c r="G36" s="14" t="str">
        <f aca="false">IF($A36="","",SUMIFS(Diário!$C$5:$C$400,Diário!$A$5:$A$400,"&gt;="&amp;$A36,Diário!$A$5:$A$400,"&lt;="&amp;$B36))</f>
        <v/>
      </c>
      <c r="H36" s="14" t="str">
        <f aca="false">IF(A36="","",SUM(D36:G36))</f>
        <v/>
      </c>
      <c r="I36" s="31" t="str">
        <f aca="false">IF($A36="","",SUMIFS(Diário!$G$5:$G$400,Diário!$A$5:$A$400,"&gt;="&amp;$A36,Diário!$A$5:$A$400,"&lt;="&amp;$B36))</f>
        <v/>
      </c>
      <c r="J36" s="32" t="str">
        <f aca="false">IF(A36="","",IF(H36=0,0,I36/H36))</f>
        <v/>
      </c>
      <c r="K36" s="15" t="str">
        <f aca="false">IF(A36="","",IF(I36=0,0,E36*Premissas!$C$5/I36))</f>
        <v/>
      </c>
      <c r="L36" s="33" t="str">
        <f aca="false">IF(A36="","",IF(I35=0,"n/d",I36/I35-1))</f>
        <v/>
      </c>
    </row>
    <row r="37" customFormat="false" ht="14.25" hidden="false" customHeight="true" outlineLevel="0" collapsed="false">
      <c r="A37" s="30" t="str">
        <f aca="false">IF(B36="","",IF(B36+1&gt;MAX(Diário!$A$5:$A$400),"",B36+1))</f>
        <v/>
      </c>
      <c r="B37" s="30" t="str">
        <f aca="false">IF(A37="","",A37+6)</f>
        <v/>
      </c>
      <c r="C37" s="14" t="str">
        <f aca="false">IF(A37="","",COUNTIFS(Diário!$A$5:$A$400,"&gt;="&amp;$A37,Diário!$A$5:$A$400,"&lt;="&amp;$B37))</f>
        <v/>
      </c>
      <c r="D37" s="14" t="str">
        <f aca="false">IF($A37="","",SUMIFS(Diário!$B$5:$B$400,Diário!$A$5:$A$400,"&gt;="&amp;$A37,Diário!$A$5:$A$400,"&lt;="&amp;$B37))</f>
        <v/>
      </c>
      <c r="E37" s="14" t="str">
        <f aca="false">IF($A37="","",SUMIFS(Diário!$E$5:$E$400,Diário!$A$5:$A$400,"&gt;="&amp;$A37,Diário!$A$5:$A$400,"&lt;="&amp;$B37))</f>
        <v/>
      </c>
      <c r="F37" s="14" t="str">
        <f aca="false">IF($A37="","",SUMIFS(Diário!$D$5:$D$400,Diário!$A$5:$A$400,"&gt;="&amp;$A37,Diário!$A$5:$A$400,"&lt;="&amp;$B37))</f>
        <v/>
      </c>
      <c r="G37" s="14" t="str">
        <f aca="false">IF($A37="","",SUMIFS(Diário!$C$5:$C$400,Diário!$A$5:$A$400,"&gt;="&amp;$A37,Diário!$A$5:$A$400,"&lt;="&amp;$B37))</f>
        <v/>
      </c>
      <c r="H37" s="14" t="str">
        <f aca="false">IF(A37="","",SUM(D37:G37))</f>
        <v/>
      </c>
      <c r="I37" s="31" t="str">
        <f aca="false">IF($A37="","",SUMIFS(Diário!$G$5:$G$400,Diário!$A$5:$A$400,"&gt;="&amp;$A37,Diário!$A$5:$A$400,"&lt;="&amp;$B37))</f>
        <v/>
      </c>
      <c r="J37" s="32" t="str">
        <f aca="false">IF(A37="","",IF(H37=0,0,I37/H37))</f>
        <v/>
      </c>
      <c r="K37" s="15" t="str">
        <f aca="false">IF(A37="","",IF(I37=0,0,E37*Premissas!$C$5/I37))</f>
        <v/>
      </c>
      <c r="L37" s="33" t="str">
        <f aca="false">IF(A37="","",IF(I36=0,"n/d",I37/I36-1))</f>
        <v/>
      </c>
    </row>
    <row r="38" customFormat="false" ht="14.25" hidden="false" customHeight="true" outlineLevel="0" collapsed="false">
      <c r="A38" s="30" t="str">
        <f aca="false">IF(B37="","",IF(B37+1&gt;MAX(Diário!$A$5:$A$400),"",B37+1))</f>
        <v/>
      </c>
      <c r="B38" s="30" t="str">
        <f aca="false">IF(A38="","",A38+6)</f>
        <v/>
      </c>
      <c r="C38" s="14" t="str">
        <f aca="false">IF(A38="","",COUNTIFS(Diário!$A$5:$A$400,"&gt;="&amp;$A38,Diário!$A$5:$A$400,"&lt;="&amp;$B38))</f>
        <v/>
      </c>
      <c r="D38" s="14" t="str">
        <f aca="false">IF($A38="","",SUMIFS(Diário!$B$5:$B$400,Diário!$A$5:$A$400,"&gt;="&amp;$A38,Diário!$A$5:$A$400,"&lt;="&amp;$B38))</f>
        <v/>
      </c>
      <c r="E38" s="14" t="str">
        <f aca="false">IF($A38="","",SUMIFS(Diário!$E$5:$E$400,Diário!$A$5:$A$400,"&gt;="&amp;$A38,Diário!$A$5:$A$400,"&lt;="&amp;$B38))</f>
        <v/>
      </c>
      <c r="F38" s="14" t="str">
        <f aca="false">IF($A38="","",SUMIFS(Diário!$D$5:$D$400,Diário!$A$5:$A$400,"&gt;="&amp;$A38,Diário!$A$5:$A$400,"&lt;="&amp;$B38))</f>
        <v/>
      </c>
      <c r="G38" s="14" t="str">
        <f aca="false">IF($A38="","",SUMIFS(Diário!$C$5:$C$400,Diário!$A$5:$A$400,"&gt;="&amp;$A38,Diário!$A$5:$A$400,"&lt;="&amp;$B38))</f>
        <v/>
      </c>
      <c r="H38" s="14" t="str">
        <f aca="false">IF(A38="","",SUM(D38:G38))</f>
        <v/>
      </c>
      <c r="I38" s="31" t="str">
        <f aca="false">IF($A38="","",SUMIFS(Diário!$G$5:$G$400,Diário!$A$5:$A$400,"&gt;="&amp;$A38,Diário!$A$5:$A$400,"&lt;="&amp;$B38))</f>
        <v/>
      </c>
      <c r="J38" s="32" t="str">
        <f aca="false">IF(A38="","",IF(H38=0,0,I38/H38))</f>
        <v/>
      </c>
      <c r="K38" s="15" t="str">
        <f aca="false">IF(A38="","",IF(I38=0,0,E38*Premissas!$C$5/I38))</f>
        <v/>
      </c>
      <c r="L38" s="33" t="str">
        <f aca="false">IF(A38="","",IF(I37=0,"n/d",I38/I37-1))</f>
        <v/>
      </c>
    </row>
    <row r="39" customFormat="false" ht="14.25" hidden="false" customHeight="true" outlineLevel="0" collapsed="false">
      <c r="A39" s="30" t="str">
        <f aca="false">IF(B38="","",IF(B38+1&gt;MAX(Diário!$A$5:$A$400),"",B38+1))</f>
        <v/>
      </c>
      <c r="B39" s="30" t="str">
        <f aca="false">IF(A39="","",A39+6)</f>
        <v/>
      </c>
      <c r="C39" s="14" t="str">
        <f aca="false">IF(A39="","",COUNTIFS(Diário!$A$5:$A$400,"&gt;="&amp;$A39,Diário!$A$5:$A$400,"&lt;="&amp;$B39))</f>
        <v/>
      </c>
      <c r="D39" s="14" t="str">
        <f aca="false">IF($A39="","",SUMIFS(Diário!$B$5:$B$400,Diário!$A$5:$A$400,"&gt;="&amp;$A39,Diário!$A$5:$A$400,"&lt;="&amp;$B39))</f>
        <v/>
      </c>
      <c r="E39" s="14" t="str">
        <f aca="false">IF($A39="","",SUMIFS(Diário!$E$5:$E$400,Diário!$A$5:$A$400,"&gt;="&amp;$A39,Diário!$A$5:$A$400,"&lt;="&amp;$B39))</f>
        <v/>
      </c>
      <c r="F39" s="14" t="str">
        <f aca="false">IF($A39="","",SUMIFS(Diário!$D$5:$D$400,Diário!$A$5:$A$400,"&gt;="&amp;$A39,Diário!$A$5:$A$400,"&lt;="&amp;$B39))</f>
        <v/>
      </c>
      <c r="G39" s="14" t="str">
        <f aca="false">IF($A39="","",SUMIFS(Diário!$C$5:$C$400,Diário!$A$5:$A$400,"&gt;="&amp;$A39,Diário!$A$5:$A$400,"&lt;="&amp;$B39))</f>
        <v/>
      </c>
      <c r="H39" s="14" t="str">
        <f aca="false">IF(A39="","",SUM(D39:G39))</f>
        <v/>
      </c>
      <c r="I39" s="31" t="str">
        <f aca="false">IF($A39="","",SUMIFS(Diário!$G$5:$G$400,Diário!$A$5:$A$400,"&gt;="&amp;$A39,Diário!$A$5:$A$400,"&lt;="&amp;$B39))</f>
        <v/>
      </c>
      <c r="J39" s="32" t="str">
        <f aca="false">IF(A39="","",IF(H39=0,0,I39/H39))</f>
        <v/>
      </c>
      <c r="K39" s="15" t="str">
        <f aca="false">IF(A39="","",IF(I39=0,0,E39*Premissas!$C$5/I39))</f>
        <v/>
      </c>
      <c r="L39" s="33" t="str">
        <f aca="false">IF(A39="","",IF(I38=0,"n/d",I39/I38-1))</f>
        <v/>
      </c>
    </row>
    <row r="40" customFormat="false" ht="14.25" hidden="false" customHeight="true" outlineLevel="0" collapsed="false">
      <c r="A40" s="30" t="str">
        <f aca="false">IF(B39="","",IF(B39+1&gt;MAX(Diário!$A$5:$A$400),"",B39+1))</f>
        <v/>
      </c>
      <c r="B40" s="30" t="str">
        <f aca="false">IF(A40="","",A40+6)</f>
        <v/>
      </c>
      <c r="C40" s="14" t="str">
        <f aca="false">IF(A40="","",COUNTIFS(Diário!$A$5:$A$400,"&gt;="&amp;$A40,Diário!$A$5:$A$400,"&lt;="&amp;$B40))</f>
        <v/>
      </c>
      <c r="D40" s="14" t="str">
        <f aca="false">IF($A40="","",SUMIFS(Diário!$B$5:$B$400,Diário!$A$5:$A$400,"&gt;="&amp;$A40,Diário!$A$5:$A$400,"&lt;="&amp;$B40))</f>
        <v/>
      </c>
      <c r="E40" s="14" t="str">
        <f aca="false">IF($A40="","",SUMIFS(Diário!$E$5:$E$400,Diário!$A$5:$A$400,"&gt;="&amp;$A40,Diário!$A$5:$A$400,"&lt;="&amp;$B40))</f>
        <v/>
      </c>
      <c r="F40" s="14" t="str">
        <f aca="false">IF($A40="","",SUMIFS(Diário!$D$5:$D$400,Diário!$A$5:$A$400,"&gt;="&amp;$A40,Diário!$A$5:$A$400,"&lt;="&amp;$B40))</f>
        <v/>
      </c>
      <c r="G40" s="14" t="str">
        <f aca="false">IF($A40="","",SUMIFS(Diário!$C$5:$C$400,Diário!$A$5:$A$400,"&gt;="&amp;$A40,Diário!$A$5:$A$400,"&lt;="&amp;$B40))</f>
        <v/>
      </c>
      <c r="H40" s="14" t="str">
        <f aca="false">IF(A40="","",SUM(D40:G40))</f>
        <v/>
      </c>
      <c r="I40" s="31" t="str">
        <f aca="false">IF($A40="","",SUMIFS(Diário!$G$5:$G$400,Diário!$A$5:$A$400,"&gt;="&amp;$A40,Diário!$A$5:$A$400,"&lt;="&amp;$B40))</f>
        <v/>
      </c>
      <c r="J40" s="32" t="str">
        <f aca="false">IF(A40="","",IF(H40=0,0,I40/H40))</f>
        <v/>
      </c>
      <c r="K40" s="15" t="str">
        <f aca="false">IF(A40="","",IF(I40=0,0,E40*Premissas!$C$5/I40))</f>
        <v/>
      </c>
      <c r="L40" s="33" t="str">
        <f aca="false">IF(A40="","",IF(I39=0,"n/d",I40/I39-1))</f>
        <v/>
      </c>
    </row>
    <row r="41" customFormat="false" ht="14.25" hidden="false" customHeight="true" outlineLevel="0" collapsed="false">
      <c r="A41" s="30" t="str">
        <f aca="false">IF(B40="","",IF(B40+1&gt;MAX(Diário!$A$5:$A$400),"",B40+1))</f>
        <v/>
      </c>
      <c r="B41" s="30" t="str">
        <f aca="false">IF(A41="","",A41+6)</f>
        <v/>
      </c>
      <c r="C41" s="14" t="str">
        <f aca="false">IF(A41="","",COUNTIFS(Diário!$A$5:$A$400,"&gt;="&amp;$A41,Diário!$A$5:$A$400,"&lt;="&amp;$B41))</f>
        <v/>
      </c>
      <c r="D41" s="14" t="str">
        <f aca="false">IF($A41="","",SUMIFS(Diário!$B$5:$B$400,Diário!$A$5:$A$400,"&gt;="&amp;$A41,Diário!$A$5:$A$400,"&lt;="&amp;$B41))</f>
        <v/>
      </c>
      <c r="E41" s="14" t="str">
        <f aca="false">IF($A41="","",SUMIFS(Diário!$E$5:$E$400,Diário!$A$5:$A$400,"&gt;="&amp;$A41,Diário!$A$5:$A$400,"&lt;="&amp;$B41))</f>
        <v/>
      </c>
      <c r="F41" s="14" t="str">
        <f aca="false">IF($A41="","",SUMIFS(Diário!$D$5:$D$400,Diário!$A$5:$A$400,"&gt;="&amp;$A41,Diário!$A$5:$A$400,"&lt;="&amp;$B41))</f>
        <v/>
      </c>
      <c r="G41" s="14" t="str">
        <f aca="false">IF($A41="","",SUMIFS(Diário!$C$5:$C$400,Diário!$A$5:$A$400,"&gt;="&amp;$A41,Diário!$A$5:$A$400,"&lt;="&amp;$B41))</f>
        <v/>
      </c>
      <c r="H41" s="14" t="str">
        <f aca="false">IF(A41="","",SUM(D41:G41))</f>
        <v/>
      </c>
      <c r="I41" s="31" t="str">
        <f aca="false">IF($A41="","",SUMIFS(Diário!$G$5:$G$400,Diário!$A$5:$A$400,"&gt;="&amp;$A41,Diário!$A$5:$A$400,"&lt;="&amp;$B41))</f>
        <v/>
      </c>
      <c r="J41" s="32" t="str">
        <f aca="false">IF(A41="","",IF(H41=0,0,I41/H41))</f>
        <v/>
      </c>
      <c r="K41" s="15" t="str">
        <f aca="false">IF(A41="","",IF(I41=0,0,E41*Premissas!$C$5/I41))</f>
        <v/>
      </c>
      <c r="L41" s="33" t="str">
        <f aca="false">IF(A41="","",IF(I40=0,"n/d",I41/I40-1))</f>
        <v/>
      </c>
    </row>
    <row r="42" customFormat="false" ht="14.25" hidden="false" customHeight="true" outlineLevel="0" collapsed="false">
      <c r="A42" s="30" t="str">
        <f aca="false">IF(B41="","",IF(B41+1&gt;MAX(Diário!$A$5:$A$400),"",B41+1))</f>
        <v/>
      </c>
      <c r="B42" s="30" t="str">
        <f aca="false">IF(A42="","",A42+6)</f>
        <v/>
      </c>
      <c r="C42" s="14" t="str">
        <f aca="false">IF(A42="","",COUNTIFS(Diário!$A$5:$A$400,"&gt;="&amp;$A42,Diário!$A$5:$A$400,"&lt;="&amp;$B42))</f>
        <v/>
      </c>
      <c r="D42" s="14" t="str">
        <f aca="false">IF($A42="","",SUMIFS(Diário!$B$5:$B$400,Diário!$A$5:$A$400,"&gt;="&amp;$A42,Diário!$A$5:$A$400,"&lt;="&amp;$B42))</f>
        <v/>
      </c>
      <c r="E42" s="14" t="str">
        <f aca="false">IF($A42="","",SUMIFS(Diário!$E$5:$E$400,Diário!$A$5:$A$400,"&gt;="&amp;$A42,Diário!$A$5:$A$400,"&lt;="&amp;$B42))</f>
        <v/>
      </c>
      <c r="F42" s="14" t="str">
        <f aca="false">IF($A42="","",SUMIFS(Diário!$D$5:$D$400,Diário!$A$5:$A$400,"&gt;="&amp;$A42,Diário!$A$5:$A$400,"&lt;="&amp;$B42))</f>
        <v/>
      </c>
      <c r="G42" s="14" t="str">
        <f aca="false">IF($A42="","",SUMIFS(Diário!$C$5:$C$400,Diário!$A$5:$A$400,"&gt;="&amp;$A42,Diário!$A$5:$A$400,"&lt;="&amp;$B42))</f>
        <v/>
      </c>
      <c r="H42" s="14" t="str">
        <f aca="false">IF(A42="","",SUM(D42:G42))</f>
        <v/>
      </c>
      <c r="I42" s="31" t="str">
        <f aca="false">IF($A42="","",SUMIFS(Diário!$G$5:$G$400,Diário!$A$5:$A$400,"&gt;="&amp;$A42,Diário!$A$5:$A$400,"&lt;="&amp;$B42))</f>
        <v/>
      </c>
      <c r="J42" s="32" t="str">
        <f aca="false">IF(A42="","",IF(H42=0,0,I42/H42))</f>
        <v/>
      </c>
      <c r="K42" s="15" t="str">
        <f aca="false">IF(A42="","",IF(I42=0,0,E42*Premissas!$C$5/I42))</f>
        <v/>
      </c>
      <c r="L42" s="33" t="str">
        <f aca="false">IF(A42="","",IF(I41=0,"n/d",I42/I41-1))</f>
        <v/>
      </c>
    </row>
    <row r="43" customFormat="false" ht="14.25" hidden="false" customHeight="true" outlineLevel="0" collapsed="false">
      <c r="A43" s="30" t="str">
        <f aca="false">IF(B42="","",IF(B42+1&gt;MAX(Diário!$A$5:$A$400),"",B42+1))</f>
        <v/>
      </c>
      <c r="B43" s="30" t="str">
        <f aca="false">IF(A43="","",A43+6)</f>
        <v/>
      </c>
      <c r="C43" s="14" t="str">
        <f aca="false">IF(A43="","",COUNTIFS(Diário!$A$5:$A$400,"&gt;="&amp;$A43,Diário!$A$5:$A$400,"&lt;="&amp;$B43))</f>
        <v/>
      </c>
      <c r="D43" s="14" t="str">
        <f aca="false">IF($A43="","",SUMIFS(Diário!$B$5:$B$400,Diário!$A$5:$A$400,"&gt;="&amp;$A43,Diário!$A$5:$A$400,"&lt;="&amp;$B43))</f>
        <v/>
      </c>
      <c r="E43" s="14" t="str">
        <f aca="false">IF($A43="","",SUMIFS(Diário!$E$5:$E$400,Diário!$A$5:$A$400,"&gt;="&amp;$A43,Diário!$A$5:$A$400,"&lt;="&amp;$B43))</f>
        <v/>
      </c>
      <c r="F43" s="14" t="str">
        <f aca="false">IF($A43="","",SUMIFS(Diário!$D$5:$D$400,Diário!$A$5:$A$400,"&gt;="&amp;$A43,Diário!$A$5:$A$400,"&lt;="&amp;$B43))</f>
        <v/>
      </c>
      <c r="G43" s="14" t="str">
        <f aca="false">IF($A43="","",SUMIFS(Diário!$C$5:$C$400,Diário!$A$5:$A$400,"&gt;="&amp;$A43,Diário!$A$5:$A$400,"&lt;="&amp;$B43))</f>
        <v/>
      </c>
      <c r="H43" s="14" t="str">
        <f aca="false">IF(A43="","",SUM(D43:G43))</f>
        <v/>
      </c>
      <c r="I43" s="31" t="str">
        <f aca="false">IF($A43="","",SUMIFS(Diário!$G$5:$G$400,Diário!$A$5:$A$400,"&gt;="&amp;$A43,Diário!$A$5:$A$400,"&lt;="&amp;$B43))</f>
        <v/>
      </c>
      <c r="J43" s="32" t="str">
        <f aca="false">IF(A43="","",IF(H43=0,0,I43/H43))</f>
        <v/>
      </c>
      <c r="K43" s="15" t="str">
        <f aca="false">IF(A43="","",IF(I43=0,0,E43*Premissas!$C$5/I43))</f>
        <v/>
      </c>
      <c r="L43" s="33" t="str">
        <f aca="false">IF(A43="","",IF(I42=0,"n/d",I43/I42-1))</f>
        <v/>
      </c>
    </row>
    <row r="44" customFormat="false" ht="14.25" hidden="false" customHeight="true" outlineLevel="0" collapsed="false">
      <c r="A44" s="30" t="str">
        <f aca="false">IF(B43="","",IF(B43+1&gt;MAX(Diário!$A$5:$A$400),"",B43+1))</f>
        <v/>
      </c>
      <c r="B44" s="30" t="str">
        <f aca="false">IF(A44="","",A44+6)</f>
        <v/>
      </c>
      <c r="C44" s="14" t="str">
        <f aca="false">IF(A44="","",COUNTIFS(Diário!$A$5:$A$400,"&gt;="&amp;$A44,Diário!$A$5:$A$400,"&lt;="&amp;$B44))</f>
        <v/>
      </c>
      <c r="D44" s="14" t="str">
        <f aca="false">IF($A44="","",SUMIFS(Diário!$B$5:$B$400,Diário!$A$5:$A$400,"&gt;="&amp;$A44,Diário!$A$5:$A$400,"&lt;="&amp;$B44))</f>
        <v/>
      </c>
      <c r="E44" s="14" t="str">
        <f aca="false">IF($A44="","",SUMIFS(Diário!$E$5:$E$400,Diário!$A$5:$A$400,"&gt;="&amp;$A44,Diário!$A$5:$A$400,"&lt;="&amp;$B44))</f>
        <v/>
      </c>
      <c r="F44" s="14" t="str">
        <f aca="false">IF($A44="","",SUMIFS(Diário!$D$5:$D$400,Diário!$A$5:$A$400,"&gt;="&amp;$A44,Diário!$A$5:$A$400,"&lt;="&amp;$B44))</f>
        <v/>
      </c>
      <c r="G44" s="14" t="str">
        <f aca="false">IF($A44="","",SUMIFS(Diário!$C$5:$C$400,Diário!$A$5:$A$400,"&gt;="&amp;$A44,Diário!$A$5:$A$400,"&lt;="&amp;$B44))</f>
        <v/>
      </c>
      <c r="H44" s="14" t="str">
        <f aca="false">IF(A44="","",SUM(D44:G44))</f>
        <v/>
      </c>
      <c r="I44" s="31" t="str">
        <f aca="false">IF($A44="","",SUMIFS(Diário!$G$5:$G$400,Diário!$A$5:$A$400,"&gt;="&amp;$A44,Diário!$A$5:$A$400,"&lt;="&amp;$B44))</f>
        <v/>
      </c>
      <c r="J44" s="32" t="str">
        <f aca="false">IF(A44="","",IF(H44=0,0,I44/H44))</f>
        <v/>
      </c>
      <c r="K44" s="15" t="str">
        <f aca="false">IF(A44="","",IF(I44=0,0,E44*Premissas!$C$5/I44))</f>
        <v/>
      </c>
      <c r="L44" s="33" t="str">
        <f aca="false">IF(A44="","",IF(I43=0,"n/d",I44/I43-1))</f>
        <v/>
      </c>
    </row>
    <row r="45" customFormat="false" ht="14.25" hidden="false" customHeight="true" outlineLevel="0" collapsed="false">
      <c r="A45" s="30" t="str">
        <f aca="false">IF(B44="","",IF(B44+1&gt;MAX(Diário!$A$5:$A$400),"",B44+1))</f>
        <v/>
      </c>
      <c r="B45" s="30" t="str">
        <f aca="false">IF(A45="","",A45+6)</f>
        <v/>
      </c>
      <c r="C45" s="14" t="str">
        <f aca="false">IF(A45="","",COUNTIFS(Diário!$A$5:$A$400,"&gt;="&amp;$A45,Diário!$A$5:$A$400,"&lt;="&amp;$B45))</f>
        <v/>
      </c>
      <c r="D45" s="14" t="str">
        <f aca="false">IF($A45="","",SUMIFS(Diário!$B$5:$B$400,Diário!$A$5:$A$400,"&gt;="&amp;$A45,Diário!$A$5:$A$400,"&lt;="&amp;$B45))</f>
        <v/>
      </c>
      <c r="E45" s="14" t="str">
        <f aca="false">IF($A45="","",SUMIFS(Diário!$E$5:$E$400,Diário!$A$5:$A$400,"&gt;="&amp;$A45,Diário!$A$5:$A$400,"&lt;="&amp;$B45))</f>
        <v/>
      </c>
      <c r="F45" s="14" t="str">
        <f aca="false">IF($A45="","",SUMIFS(Diário!$D$5:$D$400,Diário!$A$5:$A$400,"&gt;="&amp;$A45,Diário!$A$5:$A$400,"&lt;="&amp;$B45))</f>
        <v/>
      </c>
      <c r="G45" s="14" t="str">
        <f aca="false">IF($A45="","",SUMIFS(Diário!$C$5:$C$400,Diário!$A$5:$A$400,"&gt;="&amp;$A45,Diário!$A$5:$A$400,"&lt;="&amp;$B45))</f>
        <v/>
      </c>
      <c r="H45" s="14" t="str">
        <f aca="false">IF(A45="","",SUM(D45:G45))</f>
        <v/>
      </c>
      <c r="I45" s="31" t="str">
        <f aca="false">IF($A45="","",SUMIFS(Diário!$G$5:$G$400,Diário!$A$5:$A$400,"&gt;="&amp;$A45,Diário!$A$5:$A$400,"&lt;="&amp;$B45))</f>
        <v/>
      </c>
      <c r="J45" s="32" t="str">
        <f aca="false">IF(A45="","",IF(H45=0,0,I45/H45))</f>
        <v/>
      </c>
      <c r="K45" s="15" t="str">
        <f aca="false">IF(A45="","",IF(I45=0,0,E45*Premissas!$C$5/I45))</f>
        <v/>
      </c>
      <c r="L45" s="33" t="str">
        <f aca="false">IF(A45="","",IF(I44=0,"n/d",I45/I44-1))</f>
        <v/>
      </c>
    </row>
    <row r="46" customFormat="false" ht="14.25" hidden="false" customHeight="true" outlineLevel="0" collapsed="false">
      <c r="A46" s="30" t="str">
        <f aca="false">IF(B45="","",IF(B45+1&gt;MAX(Diário!$A$5:$A$400),"",B45+1))</f>
        <v/>
      </c>
      <c r="B46" s="30" t="str">
        <f aca="false">IF(A46="","",A46+6)</f>
        <v/>
      </c>
      <c r="C46" s="14" t="str">
        <f aca="false">IF(A46="","",COUNTIFS(Diário!$A$5:$A$400,"&gt;="&amp;$A46,Diário!$A$5:$A$400,"&lt;="&amp;$B46))</f>
        <v/>
      </c>
      <c r="D46" s="14" t="str">
        <f aca="false">IF($A46="","",SUMIFS(Diário!$B$5:$B$400,Diário!$A$5:$A$400,"&gt;="&amp;$A46,Diário!$A$5:$A$400,"&lt;="&amp;$B46))</f>
        <v/>
      </c>
      <c r="E46" s="14" t="str">
        <f aca="false">IF($A46="","",SUMIFS(Diário!$E$5:$E$400,Diário!$A$5:$A$400,"&gt;="&amp;$A46,Diário!$A$5:$A$400,"&lt;="&amp;$B46))</f>
        <v/>
      </c>
      <c r="F46" s="14" t="str">
        <f aca="false">IF($A46="","",SUMIFS(Diário!$D$5:$D$400,Diário!$A$5:$A$400,"&gt;="&amp;$A46,Diário!$A$5:$A$400,"&lt;="&amp;$B46))</f>
        <v/>
      </c>
      <c r="G46" s="14" t="str">
        <f aca="false">IF($A46="","",SUMIFS(Diário!$C$5:$C$400,Diário!$A$5:$A$400,"&gt;="&amp;$A46,Diário!$A$5:$A$400,"&lt;="&amp;$B46))</f>
        <v/>
      </c>
      <c r="H46" s="14" t="str">
        <f aca="false">IF(A46="","",SUM(D46:G46))</f>
        <v/>
      </c>
      <c r="I46" s="31" t="str">
        <f aca="false">IF($A46="","",SUMIFS(Diário!$G$5:$G$400,Diário!$A$5:$A$400,"&gt;="&amp;$A46,Diário!$A$5:$A$400,"&lt;="&amp;$B46))</f>
        <v/>
      </c>
      <c r="J46" s="32" t="str">
        <f aca="false">IF(A46="","",IF(H46=0,0,I46/H46))</f>
        <v/>
      </c>
      <c r="K46" s="15" t="str">
        <f aca="false">IF(A46="","",IF(I46=0,0,E46*Premissas!$C$5/I46))</f>
        <v/>
      </c>
      <c r="L46" s="33" t="str">
        <f aca="false">IF(A46="","",IF(I45=0,"n/d",I46/I45-1))</f>
        <v/>
      </c>
    </row>
    <row r="47" customFormat="false" ht="14.25" hidden="false" customHeight="true" outlineLevel="0" collapsed="false">
      <c r="A47" s="30" t="str">
        <f aca="false">IF(B46="","",IF(B46+1&gt;MAX(Diário!$A$5:$A$400),"",B46+1))</f>
        <v/>
      </c>
      <c r="B47" s="30" t="str">
        <f aca="false">IF(A47="","",A47+6)</f>
        <v/>
      </c>
      <c r="C47" s="14" t="str">
        <f aca="false">IF(A47="","",COUNTIFS(Diário!$A$5:$A$400,"&gt;="&amp;$A47,Diário!$A$5:$A$400,"&lt;="&amp;$B47))</f>
        <v/>
      </c>
      <c r="D47" s="14" t="str">
        <f aca="false">IF($A47="","",SUMIFS(Diário!$B$5:$B$400,Diário!$A$5:$A$400,"&gt;="&amp;$A47,Diário!$A$5:$A$400,"&lt;="&amp;$B47))</f>
        <v/>
      </c>
      <c r="E47" s="14" t="str">
        <f aca="false">IF($A47="","",SUMIFS(Diário!$E$5:$E$400,Diário!$A$5:$A$400,"&gt;="&amp;$A47,Diário!$A$5:$A$400,"&lt;="&amp;$B47))</f>
        <v/>
      </c>
      <c r="F47" s="14" t="str">
        <f aca="false">IF($A47="","",SUMIFS(Diário!$D$5:$D$400,Diário!$A$5:$A$400,"&gt;="&amp;$A47,Diário!$A$5:$A$400,"&lt;="&amp;$B47))</f>
        <v/>
      </c>
      <c r="G47" s="14" t="str">
        <f aca="false">IF($A47="","",SUMIFS(Diário!$C$5:$C$400,Diário!$A$5:$A$400,"&gt;="&amp;$A47,Diário!$A$5:$A$400,"&lt;="&amp;$B47))</f>
        <v/>
      </c>
      <c r="H47" s="14" t="str">
        <f aca="false">IF(A47="","",SUM(D47:G47))</f>
        <v/>
      </c>
      <c r="I47" s="31" t="str">
        <f aca="false">IF($A47="","",SUMIFS(Diário!$G$5:$G$400,Diário!$A$5:$A$400,"&gt;="&amp;$A47,Diário!$A$5:$A$400,"&lt;="&amp;$B47))</f>
        <v/>
      </c>
      <c r="J47" s="32" t="str">
        <f aca="false">IF(A47="","",IF(H47=0,0,I47/H47))</f>
        <v/>
      </c>
      <c r="K47" s="15" t="str">
        <f aca="false">IF(A47="","",IF(I47=0,0,E47*Premissas!$C$5/I47))</f>
        <v/>
      </c>
      <c r="L47" s="33" t="str">
        <f aca="false">IF(A47="","",IF(I46=0,"n/d",I47/I46-1))</f>
        <v/>
      </c>
    </row>
    <row r="48" customFormat="false" ht="14.25" hidden="false" customHeight="true" outlineLevel="0" collapsed="false">
      <c r="A48" s="30" t="str">
        <f aca="false">IF(B47="","",IF(B47+1&gt;MAX(Diário!$A$5:$A$400),"",B47+1))</f>
        <v/>
      </c>
      <c r="B48" s="30" t="str">
        <f aca="false">IF(A48="","",A48+6)</f>
        <v/>
      </c>
      <c r="C48" s="14" t="str">
        <f aca="false">IF(A48="","",COUNTIFS(Diário!$A$5:$A$400,"&gt;="&amp;$A48,Diário!$A$5:$A$400,"&lt;="&amp;$B48))</f>
        <v/>
      </c>
      <c r="D48" s="14" t="str">
        <f aca="false">IF($A48="","",SUMIFS(Diário!$B$5:$B$400,Diário!$A$5:$A$400,"&gt;="&amp;$A48,Diário!$A$5:$A$400,"&lt;="&amp;$B48))</f>
        <v/>
      </c>
      <c r="E48" s="14" t="str">
        <f aca="false">IF($A48="","",SUMIFS(Diário!$E$5:$E$400,Diário!$A$5:$A$400,"&gt;="&amp;$A48,Diário!$A$5:$A$400,"&lt;="&amp;$B48))</f>
        <v/>
      </c>
      <c r="F48" s="14" t="str">
        <f aca="false">IF($A48="","",SUMIFS(Diário!$D$5:$D$400,Diário!$A$5:$A$400,"&gt;="&amp;$A48,Diário!$A$5:$A$400,"&lt;="&amp;$B48))</f>
        <v/>
      </c>
      <c r="G48" s="14" t="str">
        <f aca="false">IF($A48="","",SUMIFS(Diário!$C$5:$C$400,Diário!$A$5:$A$400,"&gt;="&amp;$A48,Diário!$A$5:$A$400,"&lt;="&amp;$B48))</f>
        <v/>
      </c>
      <c r="H48" s="14" t="str">
        <f aca="false">IF(A48="","",SUM(D48:G48))</f>
        <v/>
      </c>
      <c r="I48" s="31" t="str">
        <f aca="false">IF($A48="","",SUMIFS(Diário!$G$5:$G$400,Diário!$A$5:$A$400,"&gt;="&amp;$A48,Diário!$A$5:$A$400,"&lt;="&amp;$B48))</f>
        <v/>
      </c>
      <c r="J48" s="32" t="str">
        <f aca="false">IF(A48="","",IF(H48=0,0,I48/H48))</f>
        <v/>
      </c>
      <c r="K48" s="15" t="str">
        <f aca="false">IF(A48="","",IF(I48=0,0,E48*Premissas!$C$5/I48))</f>
        <v/>
      </c>
      <c r="L48" s="33" t="str">
        <f aca="false">IF(A48="","",IF(I47=0,"n/d",I48/I47-1))</f>
        <v/>
      </c>
    </row>
    <row r="49" customFormat="false" ht="14.25" hidden="false" customHeight="true" outlineLevel="0" collapsed="false">
      <c r="A49" s="30" t="str">
        <f aca="false">IF(B48="","",IF(B48+1&gt;MAX(Diário!$A$5:$A$400),"",B48+1))</f>
        <v/>
      </c>
      <c r="B49" s="30" t="str">
        <f aca="false">IF(A49="","",A49+6)</f>
        <v/>
      </c>
      <c r="C49" s="14" t="str">
        <f aca="false">IF(A49="","",COUNTIFS(Diário!$A$5:$A$400,"&gt;="&amp;$A49,Diário!$A$5:$A$400,"&lt;="&amp;$B49))</f>
        <v/>
      </c>
      <c r="D49" s="14" t="str">
        <f aca="false">IF($A49="","",SUMIFS(Diário!$B$5:$B$400,Diário!$A$5:$A$400,"&gt;="&amp;$A49,Diário!$A$5:$A$400,"&lt;="&amp;$B49))</f>
        <v/>
      </c>
      <c r="E49" s="14" t="str">
        <f aca="false">IF($A49="","",SUMIFS(Diário!$E$5:$E$400,Diário!$A$5:$A$400,"&gt;="&amp;$A49,Diário!$A$5:$A$400,"&lt;="&amp;$B49))</f>
        <v/>
      </c>
      <c r="F49" s="14" t="str">
        <f aca="false">IF($A49="","",SUMIFS(Diário!$D$5:$D$400,Diário!$A$5:$A$400,"&gt;="&amp;$A49,Diário!$A$5:$A$400,"&lt;="&amp;$B49))</f>
        <v/>
      </c>
      <c r="G49" s="14" t="str">
        <f aca="false">IF($A49="","",SUMIFS(Diário!$C$5:$C$400,Diário!$A$5:$A$400,"&gt;="&amp;$A49,Diário!$A$5:$A$400,"&lt;="&amp;$B49))</f>
        <v/>
      </c>
      <c r="H49" s="14" t="str">
        <f aca="false">IF(A49="","",SUM(D49:G49))</f>
        <v/>
      </c>
      <c r="I49" s="31" t="str">
        <f aca="false">IF($A49="","",SUMIFS(Diário!$G$5:$G$400,Diário!$A$5:$A$400,"&gt;="&amp;$A49,Diário!$A$5:$A$400,"&lt;="&amp;$B49))</f>
        <v/>
      </c>
      <c r="J49" s="32" t="str">
        <f aca="false">IF(A49="","",IF(H49=0,0,I49/H49))</f>
        <v/>
      </c>
      <c r="K49" s="15" t="str">
        <f aca="false">IF(A49="","",IF(I49=0,0,E49*Premissas!$C$5/I49))</f>
        <v/>
      </c>
      <c r="L49" s="33" t="str">
        <f aca="false">IF(A49="","",IF(I48=0,"n/d",I49/I48-1))</f>
        <v/>
      </c>
    </row>
    <row r="50" customFormat="false" ht="14.25" hidden="false" customHeight="true" outlineLevel="0" collapsed="false">
      <c r="A50" s="30" t="str">
        <f aca="false">IF(B49="","",IF(B49+1&gt;MAX(Diário!$A$5:$A$400),"",B49+1))</f>
        <v/>
      </c>
      <c r="B50" s="30" t="str">
        <f aca="false">IF(A50="","",A50+6)</f>
        <v/>
      </c>
      <c r="C50" s="14" t="str">
        <f aca="false">IF(A50="","",COUNTIFS(Diário!$A$5:$A$400,"&gt;="&amp;$A50,Diário!$A$5:$A$400,"&lt;="&amp;$B50))</f>
        <v/>
      </c>
      <c r="D50" s="14" t="str">
        <f aca="false">IF($A50="","",SUMIFS(Diário!$B$5:$B$400,Diário!$A$5:$A$400,"&gt;="&amp;$A50,Diário!$A$5:$A$400,"&lt;="&amp;$B50))</f>
        <v/>
      </c>
      <c r="E50" s="14" t="str">
        <f aca="false">IF($A50="","",SUMIFS(Diário!$E$5:$E$400,Diário!$A$5:$A$400,"&gt;="&amp;$A50,Diário!$A$5:$A$400,"&lt;="&amp;$B50))</f>
        <v/>
      </c>
      <c r="F50" s="14" t="str">
        <f aca="false">IF($A50="","",SUMIFS(Diário!$D$5:$D$400,Diário!$A$5:$A$400,"&gt;="&amp;$A50,Diário!$A$5:$A$400,"&lt;="&amp;$B50))</f>
        <v/>
      </c>
      <c r="G50" s="14" t="str">
        <f aca="false">IF($A50="","",SUMIFS(Diário!$C$5:$C$400,Diário!$A$5:$A$400,"&gt;="&amp;$A50,Diário!$A$5:$A$400,"&lt;="&amp;$B50))</f>
        <v/>
      </c>
      <c r="H50" s="14" t="str">
        <f aca="false">IF(A50="","",SUM(D50:G50))</f>
        <v/>
      </c>
      <c r="I50" s="31" t="str">
        <f aca="false">IF($A50="","",SUMIFS(Diário!$G$5:$G$400,Diário!$A$5:$A$400,"&gt;="&amp;$A50,Diário!$A$5:$A$400,"&lt;="&amp;$B50))</f>
        <v/>
      </c>
      <c r="J50" s="32" t="str">
        <f aca="false">IF(A50="","",IF(H50=0,0,I50/H50))</f>
        <v/>
      </c>
      <c r="K50" s="15" t="str">
        <f aca="false">IF(A50="","",IF(I50=0,0,E50*Premissas!$C$5/I50))</f>
        <v/>
      </c>
      <c r="L50" s="33" t="str">
        <f aca="false">IF(A50="","",IF(I49=0,"n/d",I50/I49-1))</f>
        <v/>
      </c>
    </row>
    <row r="51" customFormat="false" ht="14.25" hidden="false" customHeight="true" outlineLevel="0" collapsed="false">
      <c r="A51" s="30" t="str">
        <f aca="false">IF(B50="","",IF(B50+1&gt;MAX(Diário!$A$5:$A$400),"",B50+1))</f>
        <v/>
      </c>
      <c r="B51" s="30" t="str">
        <f aca="false">IF(A51="","",A51+6)</f>
        <v/>
      </c>
      <c r="C51" s="14" t="str">
        <f aca="false">IF(A51="","",COUNTIFS(Diário!$A$5:$A$400,"&gt;="&amp;$A51,Diário!$A$5:$A$400,"&lt;="&amp;$B51))</f>
        <v/>
      </c>
      <c r="D51" s="14" t="str">
        <f aca="false">IF($A51="","",SUMIFS(Diário!$B$5:$B$400,Diário!$A$5:$A$400,"&gt;="&amp;$A51,Diário!$A$5:$A$400,"&lt;="&amp;$B51))</f>
        <v/>
      </c>
      <c r="E51" s="14" t="str">
        <f aca="false">IF($A51="","",SUMIFS(Diário!$E$5:$E$400,Diário!$A$5:$A$400,"&gt;="&amp;$A51,Diário!$A$5:$A$400,"&lt;="&amp;$B51))</f>
        <v/>
      </c>
      <c r="F51" s="14" t="str">
        <f aca="false">IF($A51="","",SUMIFS(Diário!$D$5:$D$400,Diário!$A$5:$A$400,"&gt;="&amp;$A51,Diário!$A$5:$A$400,"&lt;="&amp;$B51))</f>
        <v/>
      </c>
      <c r="G51" s="14" t="str">
        <f aca="false">IF($A51="","",SUMIFS(Diário!$C$5:$C$400,Diário!$A$5:$A$400,"&gt;="&amp;$A51,Diário!$A$5:$A$400,"&lt;="&amp;$B51))</f>
        <v/>
      </c>
      <c r="H51" s="14" t="str">
        <f aca="false">IF(A51="","",SUM(D51:G51))</f>
        <v/>
      </c>
      <c r="I51" s="31" t="str">
        <f aca="false">IF($A51="","",SUMIFS(Diário!$G$5:$G$400,Diário!$A$5:$A$400,"&gt;="&amp;$A51,Diário!$A$5:$A$400,"&lt;="&amp;$B51))</f>
        <v/>
      </c>
      <c r="J51" s="32" t="str">
        <f aca="false">IF(A51="","",IF(H51=0,0,I51/H51))</f>
        <v/>
      </c>
      <c r="K51" s="15" t="str">
        <f aca="false">IF(A51="","",IF(I51=0,0,E51*Premissas!$C$5/I51))</f>
        <v/>
      </c>
      <c r="L51" s="33" t="str">
        <f aca="false">IF(A51="","",IF(I50=0,"n/d",I51/I50-1))</f>
        <v/>
      </c>
    </row>
    <row r="52" customFormat="false" ht="14.25" hidden="false" customHeight="true" outlineLevel="0" collapsed="false">
      <c r="A52" s="30" t="str">
        <f aca="false">IF(B51="","",IF(B51+1&gt;MAX(Diário!$A$5:$A$400),"",B51+1))</f>
        <v/>
      </c>
      <c r="B52" s="30" t="str">
        <f aca="false">IF(A52="","",A52+6)</f>
        <v/>
      </c>
      <c r="C52" s="14" t="str">
        <f aca="false">IF(A52="","",COUNTIFS(Diário!$A$5:$A$400,"&gt;="&amp;$A52,Diário!$A$5:$A$400,"&lt;="&amp;$B52))</f>
        <v/>
      </c>
      <c r="D52" s="14" t="str">
        <f aca="false">IF($A52="","",SUMIFS(Diário!$B$5:$B$400,Diário!$A$5:$A$400,"&gt;="&amp;$A52,Diário!$A$5:$A$400,"&lt;="&amp;$B52))</f>
        <v/>
      </c>
      <c r="E52" s="14" t="str">
        <f aca="false">IF($A52="","",SUMIFS(Diário!$E$5:$E$400,Diário!$A$5:$A$400,"&gt;="&amp;$A52,Diário!$A$5:$A$400,"&lt;="&amp;$B52))</f>
        <v/>
      </c>
      <c r="F52" s="14" t="str">
        <f aca="false">IF($A52="","",SUMIFS(Diário!$D$5:$D$400,Diário!$A$5:$A$400,"&gt;="&amp;$A52,Diário!$A$5:$A$400,"&lt;="&amp;$B52))</f>
        <v/>
      </c>
      <c r="G52" s="14" t="str">
        <f aca="false">IF($A52="","",SUMIFS(Diário!$C$5:$C$400,Diário!$A$5:$A$400,"&gt;="&amp;$A52,Diário!$A$5:$A$400,"&lt;="&amp;$B52))</f>
        <v/>
      </c>
      <c r="H52" s="14" t="str">
        <f aca="false">IF(A52="","",SUM(D52:G52))</f>
        <v/>
      </c>
      <c r="I52" s="31" t="str">
        <f aca="false">IF($A52="","",SUMIFS(Diário!$G$5:$G$400,Diário!$A$5:$A$400,"&gt;="&amp;$A52,Diário!$A$5:$A$400,"&lt;="&amp;$B52))</f>
        <v/>
      </c>
      <c r="J52" s="32" t="str">
        <f aca="false">IF(A52="","",IF(H52=0,0,I52/H52))</f>
        <v/>
      </c>
      <c r="K52" s="15" t="str">
        <f aca="false">IF(A52="","",IF(I52=0,0,E52*Premissas!$C$5/I52))</f>
        <v/>
      </c>
      <c r="L52" s="33" t="str">
        <f aca="false">IF(A52="","",IF(I51=0,"n/d",I52/I51-1))</f>
        <v/>
      </c>
    </row>
    <row r="53" customFormat="false" ht="14.25" hidden="false" customHeight="true" outlineLevel="0" collapsed="false">
      <c r="A53" s="30" t="str">
        <f aca="false">IF(B52="","",IF(B52+1&gt;MAX(Diário!$A$5:$A$400),"",B52+1))</f>
        <v/>
      </c>
      <c r="B53" s="30" t="str">
        <f aca="false">IF(A53="","",A53+6)</f>
        <v/>
      </c>
      <c r="C53" s="14" t="str">
        <f aca="false">IF(A53="","",COUNTIFS(Diário!$A$5:$A$400,"&gt;="&amp;$A53,Diário!$A$5:$A$400,"&lt;="&amp;$B53))</f>
        <v/>
      </c>
      <c r="D53" s="14" t="str">
        <f aca="false">IF($A53="","",SUMIFS(Diário!$B$5:$B$400,Diário!$A$5:$A$400,"&gt;="&amp;$A53,Diário!$A$5:$A$400,"&lt;="&amp;$B53))</f>
        <v/>
      </c>
      <c r="E53" s="14" t="str">
        <f aca="false">IF($A53="","",SUMIFS(Diário!$E$5:$E$400,Diário!$A$5:$A$400,"&gt;="&amp;$A53,Diário!$A$5:$A$400,"&lt;="&amp;$B53))</f>
        <v/>
      </c>
      <c r="F53" s="14" t="str">
        <f aca="false">IF($A53="","",SUMIFS(Diário!$D$5:$D$400,Diário!$A$5:$A$400,"&gt;="&amp;$A53,Diário!$A$5:$A$400,"&lt;="&amp;$B53))</f>
        <v/>
      </c>
      <c r="G53" s="14" t="str">
        <f aca="false">IF($A53="","",SUMIFS(Diário!$C$5:$C$400,Diário!$A$5:$A$400,"&gt;="&amp;$A53,Diário!$A$5:$A$400,"&lt;="&amp;$B53))</f>
        <v/>
      </c>
      <c r="H53" s="14" t="str">
        <f aca="false">IF(A53="","",SUM(D53:G53))</f>
        <v/>
      </c>
      <c r="I53" s="31" t="str">
        <f aca="false">IF($A53="","",SUMIFS(Diário!$G$5:$G$400,Diário!$A$5:$A$400,"&gt;="&amp;$A53,Diário!$A$5:$A$400,"&lt;="&amp;$B53))</f>
        <v/>
      </c>
      <c r="J53" s="32" t="str">
        <f aca="false">IF(A53="","",IF(H53=0,0,I53/H53))</f>
        <v/>
      </c>
      <c r="K53" s="15" t="str">
        <f aca="false">IF(A53="","",IF(I53=0,0,E53*Premissas!$C$5/I53))</f>
        <v/>
      </c>
      <c r="L53" s="33" t="str">
        <f aca="false">IF(A53="","",IF(I52=0,"n/d",I53/I52-1))</f>
        <v/>
      </c>
    </row>
    <row r="54" customFormat="false" ht="14.25" hidden="false" customHeight="true" outlineLevel="0" collapsed="false">
      <c r="A54" s="30" t="str">
        <f aca="false">IF(B53="","",IF(B53+1&gt;MAX(Diário!$A$5:$A$400),"",B53+1))</f>
        <v/>
      </c>
      <c r="B54" s="30" t="str">
        <f aca="false">IF(A54="","",A54+6)</f>
        <v/>
      </c>
      <c r="C54" s="14" t="str">
        <f aca="false">IF(A54="","",COUNTIFS(Diário!$A$5:$A$400,"&gt;="&amp;$A54,Diário!$A$5:$A$400,"&lt;="&amp;$B54))</f>
        <v/>
      </c>
      <c r="D54" s="14" t="str">
        <f aca="false">IF($A54="","",SUMIFS(Diário!$B$5:$B$400,Diário!$A$5:$A$400,"&gt;="&amp;$A54,Diário!$A$5:$A$400,"&lt;="&amp;$B54))</f>
        <v/>
      </c>
      <c r="E54" s="14" t="str">
        <f aca="false">IF($A54="","",SUMIFS(Diário!$E$5:$E$400,Diário!$A$5:$A$400,"&gt;="&amp;$A54,Diário!$A$5:$A$400,"&lt;="&amp;$B54))</f>
        <v/>
      </c>
      <c r="F54" s="14" t="str">
        <f aca="false">IF($A54="","",SUMIFS(Diário!$D$5:$D$400,Diário!$A$5:$A$400,"&gt;="&amp;$A54,Diário!$A$5:$A$400,"&lt;="&amp;$B54))</f>
        <v/>
      </c>
      <c r="G54" s="14" t="str">
        <f aca="false">IF($A54="","",SUMIFS(Diário!$C$5:$C$400,Diário!$A$5:$A$400,"&gt;="&amp;$A54,Diário!$A$5:$A$400,"&lt;="&amp;$B54))</f>
        <v/>
      </c>
      <c r="H54" s="14" t="str">
        <f aca="false">IF(A54="","",SUM(D54:G54))</f>
        <v/>
      </c>
      <c r="I54" s="31" t="str">
        <f aca="false">IF($A54="","",SUMIFS(Diário!$G$5:$G$400,Diário!$A$5:$A$400,"&gt;="&amp;$A54,Diário!$A$5:$A$400,"&lt;="&amp;$B54))</f>
        <v/>
      </c>
      <c r="J54" s="32" t="str">
        <f aca="false">IF(A54="","",IF(H54=0,0,I54/H54))</f>
        <v/>
      </c>
      <c r="K54" s="15" t="str">
        <f aca="false">IF(A54="","",IF(I54=0,0,E54*Premissas!$C$5/I54))</f>
        <v/>
      </c>
      <c r="L54" s="33" t="str">
        <f aca="false">IF(A54="","",IF(I53=0,"n/d",I54/I53-1))</f>
        <v/>
      </c>
    </row>
    <row r="55" customFormat="false" ht="14.25" hidden="false" customHeight="true" outlineLevel="0" collapsed="false">
      <c r="A55" s="30" t="str">
        <f aca="false">IF(B54="","",IF(B54+1&gt;MAX(Diário!$A$5:$A$400),"",B54+1))</f>
        <v/>
      </c>
      <c r="B55" s="30" t="str">
        <f aca="false">IF(A55="","",A55+6)</f>
        <v/>
      </c>
      <c r="C55" s="14" t="str">
        <f aca="false">IF(A55="","",COUNTIFS(Diário!$A$5:$A$400,"&gt;="&amp;$A55,Diário!$A$5:$A$400,"&lt;="&amp;$B55))</f>
        <v/>
      </c>
      <c r="D55" s="14" t="str">
        <f aca="false">IF($A55="","",SUMIFS(Diário!$B$5:$B$400,Diário!$A$5:$A$400,"&gt;="&amp;$A55,Diário!$A$5:$A$400,"&lt;="&amp;$B55))</f>
        <v/>
      </c>
      <c r="E55" s="14" t="str">
        <f aca="false">IF($A55="","",SUMIFS(Diário!$E$5:$E$400,Diário!$A$5:$A$400,"&gt;="&amp;$A55,Diário!$A$5:$A$400,"&lt;="&amp;$B55))</f>
        <v/>
      </c>
      <c r="F55" s="14" t="str">
        <f aca="false">IF($A55="","",SUMIFS(Diário!$D$5:$D$400,Diário!$A$5:$A$400,"&gt;="&amp;$A55,Diário!$A$5:$A$400,"&lt;="&amp;$B55))</f>
        <v/>
      </c>
      <c r="G55" s="14" t="str">
        <f aca="false">IF($A55="","",SUMIFS(Diário!$C$5:$C$400,Diário!$A$5:$A$400,"&gt;="&amp;$A55,Diário!$A$5:$A$400,"&lt;="&amp;$B55))</f>
        <v/>
      </c>
      <c r="H55" s="14" t="str">
        <f aca="false">IF(A55="","",SUM(D55:G55))</f>
        <v/>
      </c>
      <c r="I55" s="31" t="str">
        <f aca="false">IF($A55="","",SUMIFS(Diário!$G$5:$G$400,Diário!$A$5:$A$400,"&gt;="&amp;$A55,Diário!$A$5:$A$400,"&lt;="&amp;$B55))</f>
        <v/>
      </c>
      <c r="J55" s="32" t="str">
        <f aca="false">IF(A55="","",IF(H55=0,0,I55/H55))</f>
        <v/>
      </c>
      <c r="K55" s="15" t="str">
        <f aca="false">IF(A55="","",IF(I55=0,0,E55*Premissas!$C$5/I55))</f>
        <v/>
      </c>
      <c r="L55" s="33" t="str">
        <f aca="false">IF(A55="","",IF(I54=0,"n/d",I55/I54-1))</f>
        <v/>
      </c>
    </row>
    <row r="56" customFormat="false" ht="14.25" hidden="false" customHeight="true" outlineLevel="0" collapsed="false">
      <c r="A56" s="30" t="str">
        <f aca="false">IF(B55="","",IF(B55+1&gt;MAX(Diário!$A$5:$A$400),"",B55+1))</f>
        <v/>
      </c>
      <c r="B56" s="30" t="str">
        <f aca="false">IF(A56="","",A56+6)</f>
        <v/>
      </c>
      <c r="C56" s="14" t="str">
        <f aca="false">IF(A56="","",COUNTIFS(Diário!$A$5:$A$400,"&gt;="&amp;$A56,Diário!$A$5:$A$400,"&lt;="&amp;$B56))</f>
        <v/>
      </c>
      <c r="D56" s="14" t="str">
        <f aca="false">IF($A56="","",SUMIFS(Diário!$B$5:$B$400,Diário!$A$5:$A$400,"&gt;="&amp;$A56,Diário!$A$5:$A$400,"&lt;="&amp;$B56))</f>
        <v/>
      </c>
      <c r="E56" s="14" t="str">
        <f aca="false">IF($A56="","",SUMIFS(Diário!$E$5:$E$400,Diário!$A$5:$A$400,"&gt;="&amp;$A56,Diário!$A$5:$A$400,"&lt;="&amp;$B56))</f>
        <v/>
      </c>
      <c r="F56" s="14" t="str">
        <f aca="false">IF($A56="","",SUMIFS(Diário!$D$5:$D$400,Diário!$A$5:$A$400,"&gt;="&amp;$A56,Diário!$A$5:$A$400,"&lt;="&amp;$B56))</f>
        <v/>
      </c>
      <c r="G56" s="14" t="str">
        <f aca="false">IF($A56="","",SUMIFS(Diário!$C$5:$C$400,Diário!$A$5:$A$400,"&gt;="&amp;$A56,Diário!$A$5:$A$400,"&lt;="&amp;$B56))</f>
        <v/>
      </c>
      <c r="H56" s="14" t="str">
        <f aca="false">IF(A56="","",SUM(D56:G56))</f>
        <v/>
      </c>
      <c r="I56" s="31" t="str">
        <f aca="false">IF($A56="","",SUMIFS(Diário!$G$5:$G$400,Diário!$A$5:$A$400,"&gt;="&amp;$A56,Diário!$A$5:$A$400,"&lt;="&amp;$B56))</f>
        <v/>
      </c>
      <c r="J56" s="32" t="str">
        <f aca="false">IF(A56="","",IF(H56=0,0,I56/H56))</f>
        <v/>
      </c>
      <c r="K56" s="15" t="str">
        <f aca="false">IF(A56="","",IF(I56=0,0,E56*Premissas!$C$5/I56))</f>
        <v/>
      </c>
      <c r="L56" s="33" t="str">
        <f aca="false">IF(A56="","",IF(I55=0,"n/d",I56/I55-1))</f>
        <v/>
      </c>
    </row>
    <row r="57" customFormat="false" ht="14.25" hidden="false" customHeight="true" outlineLevel="0" collapsed="false">
      <c r="A57" s="30" t="str">
        <f aca="false">IF(B56="","",IF(B56+1&gt;MAX(Diário!$A$5:$A$400),"",B56+1))</f>
        <v/>
      </c>
      <c r="B57" s="30" t="str">
        <f aca="false">IF(A57="","",A57+6)</f>
        <v/>
      </c>
      <c r="C57" s="14" t="str">
        <f aca="false">IF(A57="","",COUNTIFS(Diário!$A$5:$A$400,"&gt;="&amp;$A57,Diário!$A$5:$A$400,"&lt;="&amp;$B57))</f>
        <v/>
      </c>
      <c r="D57" s="14" t="str">
        <f aca="false">IF($A57="","",SUMIFS(Diário!$B$5:$B$400,Diário!$A$5:$A$400,"&gt;="&amp;$A57,Diário!$A$5:$A$400,"&lt;="&amp;$B57))</f>
        <v/>
      </c>
      <c r="E57" s="14" t="str">
        <f aca="false">IF($A57="","",SUMIFS(Diário!$E$5:$E$400,Diário!$A$5:$A$400,"&gt;="&amp;$A57,Diário!$A$5:$A$400,"&lt;="&amp;$B57))</f>
        <v/>
      </c>
      <c r="F57" s="14" t="str">
        <f aca="false">IF($A57="","",SUMIFS(Diário!$D$5:$D$400,Diário!$A$5:$A$400,"&gt;="&amp;$A57,Diário!$A$5:$A$400,"&lt;="&amp;$B57))</f>
        <v/>
      </c>
      <c r="G57" s="14" t="str">
        <f aca="false">IF($A57="","",SUMIFS(Diário!$C$5:$C$400,Diário!$A$5:$A$400,"&gt;="&amp;$A57,Diário!$A$5:$A$400,"&lt;="&amp;$B57))</f>
        <v/>
      </c>
      <c r="H57" s="14" t="str">
        <f aca="false">IF(A57="","",SUM(D57:G57))</f>
        <v/>
      </c>
      <c r="I57" s="31" t="str">
        <f aca="false">IF($A57="","",SUMIFS(Diário!$G$5:$G$400,Diário!$A$5:$A$400,"&gt;="&amp;$A57,Diário!$A$5:$A$400,"&lt;="&amp;$B57))</f>
        <v/>
      </c>
      <c r="J57" s="32" t="str">
        <f aca="false">IF(A57="","",IF(H57=0,0,I57/H57))</f>
        <v/>
      </c>
      <c r="K57" s="15" t="str">
        <f aca="false">IF(A57="","",IF(I57=0,0,E57*Premissas!$C$5/I57))</f>
        <v/>
      </c>
      <c r="L57" s="33" t="str">
        <f aca="false">IF(A57="","",IF(I56=0,"n/d",I57/I56-1))</f>
        <v/>
      </c>
    </row>
    <row r="58" customFormat="false" ht="14.25" hidden="false" customHeight="true" outlineLevel="0" collapsed="false">
      <c r="A58" s="30" t="str">
        <f aca="false">IF(B57="","",IF(B57+1&gt;MAX(Diário!$A$5:$A$400),"",B57+1))</f>
        <v/>
      </c>
      <c r="B58" s="30" t="str">
        <f aca="false">IF(A58="","",A58+6)</f>
        <v/>
      </c>
      <c r="C58" s="14" t="str">
        <f aca="false">IF(A58="","",COUNTIFS(Diário!$A$5:$A$400,"&gt;="&amp;$A58,Diário!$A$5:$A$400,"&lt;="&amp;$B58))</f>
        <v/>
      </c>
      <c r="D58" s="14" t="str">
        <f aca="false">IF($A58="","",SUMIFS(Diário!$B$5:$B$400,Diário!$A$5:$A$400,"&gt;="&amp;$A58,Diário!$A$5:$A$400,"&lt;="&amp;$B58))</f>
        <v/>
      </c>
      <c r="E58" s="14" t="str">
        <f aca="false">IF($A58="","",SUMIFS(Diário!$E$5:$E$400,Diário!$A$5:$A$400,"&gt;="&amp;$A58,Diário!$A$5:$A$400,"&lt;="&amp;$B58))</f>
        <v/>
      </c>
      <c r="F58" s="14" t="str">
        <f aca="false">IF($A58="","",SUMIFS(Diário!$D$5:$D$400,Diário!$A$5:$A$400,"&gt;="&amp;$A58,Diário!$A$5:$A$400,"&lt;="&amp;$B58))</f>
        <v/>
      </c>
      <c r="G58" s="14" t="str">
        <f aca="false">IF($A58="","",SUMIFS(Diário!$C$5:$C$400,Diário!$A$5:$A$400,"&gt;="&amp;$A58,Diário!$A$5:$A$400,"&lt;="&amp;$B58))</f>
        <v/>
      </c>
      <c r="H58" s="14" t="str">
        <f aca="false">IF(A58="","",SUM(D58:G58))</f>
        <v/>
      </c>
      <c r="I58" s="31" t="str">
        <f aca="false">IF($A58="","",SUMIFS(Diário!$G$5:$G$400,Diário!$A$5:$A$400,"&gt;="&amp;$A58,Diário!$A$5:$A$400,"&lt;="&amp;$B58))</f>
        <v/>
      </c>
      <c r="J58" s="32" t="str">
        <f aca="false">IF(A58="","",IF(H58=0,0,I58/H58))</f>
        <v/>
      </c>
      <c r="K58" s="15" t="str">
        <f aca="false">IF(A58="","",IF(I58=0,0,E58*Premissas!$C$5/I58))</f>
        <v/>
      </c>
      <c r="L58" s="33" t="str">
        <f aca="false">IF(A58="","",IF(I57=0,"n/d",I58/I57-1))</f>
        <v/>
      </c>
    </row>
    <row r="59" customFormat="false" ht="14.25" hidden="false" customHeight="true" outlineLevel="0" collapsed="false">
      <c r="A59" s="30" t="str">
        <f aca="false">IF(B58="","",IF(B58+1&gt;MAX(Diário!$A$5:$A$400),"",B58+1))</f>
        <v/>
      </c>
      <c r="B59" s="30" t="str">
        <f aca="false">IF(A59="","",A59+6)</f>
        <v/>
      </c>
      <c r="C59" s="14" t="str">
        <f aca="false">IF(A59="","",COUNTIFS(Diário!$A$5:$A$400,"&gt;="&amp;$A59,Diário!$A$5:$A$400,"&lt;="&amp;$B59))</f>
        <v/>
      </c>
      <c r="D59" s="14" t="str">
        <f aca="false">IF($A59="","",SUMIFS(Diário!$B$5:$B$400,Diário!$A$5:$A$400,"&gt;="&amp;$A59,Diário!$A$5:$A$400,"&lt;="&amp;$B59))</f>
        <v/>
      </c>
      <c r="E59" s="14" t="str">
        <f aca="false">IF($A59="","",SUMIFS(Diário!$E$5:$E$400,Diário!$A$5:$A$400,"&gt;="&amp;$A59,Diário!$A$5:$A$400,"&lt;="&amp;$B59))</f>
        <v/>
      </c>
      <c r="F59" s="14" t="str">
        <f aca="false">IF($A59="","",SUMIFS(Diário!$D$5:$D$400,Diário!$A$5:$A$400,"&gt;="&amp;$A59,Diário!$A$5:$A$400,"&lt;="&amp;$B59))</f>
        <v/>
      </c>
      <c r="G59" s="14" t="str">
        <f aca="false">IF($A59="","",SUMIFS(Diário!$C$5:$C$400,Diário!$A$5:$A$400,"&gt;="&amp;$A59,Diário!$A$5:$A$400,"&lt;="&amp;$B59))</f>
        <v/>
      </c>
      <c r="H59" s="14" t="str">
        <f aca="false">IF(A59="","",SUM(D59:G59))</f>
        <v/>
      </c>
      <c r="I59" s="31" t="str">
        <f aca="false">IF($A59="","",SUMIFS(Diário!$G$5:$G$400,Diário!$A$5:$A$400,"&gt;="&amp;$A59,Diário!$A$5:$A$400,"&lt;="&amp;$B59))</f>
        <v/>
      </c>
      <c r="J59" s="32" t="str">
        <f aca="false">IF(A59="","",IF(H59=0,0,I59/H59))</f>
        <v/>
      </c>
      <c r="K59" s="15" t="str">
        <f aca="false">IF(A59="","",IF(I59=0,0,E59*Premissas!$C$5/I59))</f>
        <v/>
      </c>
      <c r="L59" s="33" t="str">
        <f aca="false">IF(A59="","",IF(I58=0,"n/d",I59/I58-1))</f>
        <v/>
      </c>
    </row>
    <row r="60" customFormat="false" ht="14.25" hidden="false" customHeight="true" outlineLevel="0" collapsed="false">
      <c r="A60" s="30" t="str">
        <f aca="false">IF(B59="","",IF(B59+1&gt;MAX(Diário!$A$5:$A$400),"",B59+1))</f>
        <v/>
      </c>
      <c r="B60" s="30" t="str">
        <f aca="false">IF(A60="","",A60+6)</f>
        <v/>
      </c>
      <c r="C60" s="14" t="str">
        <f aca="false">IF(A60="","",COUNTIFS(Diário!$A$5:$A$400,"&gt;="&amp;$A60,Diário!$A$5:$A$400,"&lt;="&amp;$B60))</f>
        <v/>
      </c>
      <c r="D60" s="14" t="str">
        <f aca="false">IF($A60="","",SUMIFS(Diário!$B$5:$B$400,Diário!$A$5:$A$400,"&gt;="&amp;$A60,Diário!$A$5:$A$400,"&lt;="&amp;$B60))</f>
        <v/>
      </c>
      <c r="E60" s="14" t="str">
        <f aca="false">IF($A60="","",SUMIFS(Diário!$E$5:$E$400,Diário!$A$5:$A$400,"&gt;="&amp;$A60,Diário!$A$5:$A$400,"&lt;="&amp;$B60))</f>
        <v/>
      </c>
      <c r="F60" s="14" t="str">
        <f aca="false">IF($A60="","",SUMIFS(Diário!$D$5:$D$400,Diário!$A$5:$A$400,"&gt;="&amp;$A60,Diário!$A$5:$A$400,"&lt;="&amp;$B60))</f>
        <v/>
      </c>
      <c r="G60" s="14" t="str">
        <f aca="false">IF($A60="","",SUMIFS(Diário!$C$5:$C$400,Diário!$A$5:$A$400,"&gt;="&amp;$A60,Diário!$A$5:$A$400,"&lt;="&amp;$B60))</f>
        <v/>
      </c>
      <c r="H60" s="14" t="str">
        <f aca="false">IF(A60="","",SUM(D60:G60))</f>
        <v/>
      </c>
      <c r="I60" s="31" t="str">
        <f aca="false">IF($A60="","",SUMIFS(Diário!$G$5:$G$400,Diário!$A$5:$A$400,"&gt;="&amp;$A60,Diário!$A$5:$A$400,"&lt;="&amp;$B60))</f>
        <v/>
      </c>
      <c r="J60" s="32" t="str">
        <f aca="false">IF(A60="","",IF(H60=0,0,I60/H60))</f>
        <v/>
      </c>
      <c r="K60" s="15" t="str">
        <f aca="false">IF(A60="","",IF(I60=0,0,E60*Premissas!$C$5/I60))</f>
        <v/>
      </c>
      <c r="L60" s="33" t="str">
        <f aca="false">IF(A60="","",IF(I59=0,"n/d",I60/I59-1))</f>
        <v/>
      </c>
    </row>
    <row r="61" customFormat="false" ht="14.25" hidden="false" customHeight="true" outlineLevel="0" collapsed="false">
      <c r="A61" s="30" t="str">
        <f aca="false">IF(B60="","",IF(B60+1&gt;MAX(Diário!$A$5:$A$400),"",B60+1))</f>
        <v/>
      </c>
      <c r="B61" s="30" t="str">
        <f aca="false">IF(A61="","",A61+6)</f>
        <v/>
      </c>
      <c r="C61" s="14" t="str">
        <f aca="false">IF(A61="","",COUNTIFS(Diário!$A$5:$A$400,"&gt;="&amp;$A61,Diário!$A$5:$A$400,"&lt;="&amp;$B61))</f>
        <v/>
      </c>
      <c r="D61" s="14" t="str">
        <f aca="false">IF($A61="","",SUMIFS(Diário!$B$5:$B$400,Diário!$A$5:$A$400,"&gt;="&amp;$A61,Diário!$A$5:$A$400,"&lt;="&amp;$B61))</f>
        <v/>
      </c>
      <c r="E61" s="14" t="str">
        <f aca="false">IF($A61="","",SUMIFS(Diário!$E$5:$E$400,Diário!$A$5:$A$400,"&gt;="&amp;$A61,Diário!$A$5:$A$400,"&lt;="&amp;$B61))</f>
        <v/>
      </c>
      <c r="F61" s="14" t="str">
        <f aca="false">IF($A61="","",SUMIFS(Diário!$D$5:$D$400,Diário!$A$5:$A$400,"&gt;="&amp;$A61,Diário!$A$5:$A$400,"&lt;="&amp;$B61))</f>
        <v/>
      </c>
      <c r="G61" s="14" t="str">
        <f aca="false">IF($A61="","",SUMIFS(Diário!$C$5:$C$400,Diário!$A$5:$A$400,"&gt;="&amp;$A61,Diário!$A$5:$A$400,"&lt;="&amp;$B61))</f>
        <v/>
      </c>
      <c r="H61" s="14" t="str">
        <f aca="false">IF(A61="","",SUM(D61:G61))</f>
        <v/>
      </c>
      <c r="I61" s="31" t="str">
        <f aca="false">IF($A61="","",SUMIFS(Diário!$G$5:$G$400,Diário!$A$5:$A$400,"&gt;="&amp;$A61,Diário!$A$5:$A$400,"&lt;="&amp;$B61))</f>
        <v/>
      </c>
      <c r="J61" s="32" t="str">
        <f aca="false">IF(A61="","",IF(H61=0,0,I61/H61))</f>
        <v/>
      </c>
      <c r="K61" s="15" t="str">
        <f aca="false">IF(A61="","",IF(I61=0,0,E61*Premissas!$C$5/I61))</f>
        <v/>
      </c>
      <c r="L61" s="33" t="str">
        <f aca="false">IF(A61="","",IF(I60=0,"n/d",I61/I60-1))</f>
        <v/>
      </c>
    </row>
    <row r="62" customFormat="false" ht="14.25" hidden="false" customHeight="true" outlineLevel="0" collapsed="false">
      <c r="A62" s="30" t="str">
        <f aca="false">IF(B61="","",IF(B61+1&gt;MAX(Diário!$A$5:$A$400),"",B61+1))</f>
        <v/>
      </c>
      <c r="B62" s="30" t="str">
        <f aca="false">IF(A62="","",A62+6)</f>
        <v/>
      </c>
      <c r="C62" s="14" t="str">
        <f aca="false">IF(A62="","",COUNTIFS(Diário!$A$5:$A$400,"&gt;="&amp;$A62,Diário!$A$5:$A$400,"&lt;="&amp;$B62))</f>
        <v/>
      </c>
      <c r="D62" s="14" t="str">
        <f aca="false">IF($A62="","",SUMIFS(Diário!$B$5:$B$400,Diário!$A$5:$A$400,"&gt;="&amp;$A62,Diário!$A$5:$A$400,"&lt;="&amp;$B62))</f>
        <v/>
      </c>
      <c r="E62" s="14" t="str">
        <f aca="false">IF($A62="","",SUMIFS(Diário!$E$5:$E$400,Diário!$A$5:$A$400,"&gt;="&amp;$A62,Diário!$A$5:$A$400,"&lt;="&amp;$B62))</f>
        <v/>
      </c>
      <c r="F62" s="14" t="str">
        <f aca="false">IF($A62="","",SUMIFS(Diário!$D$5:$D$400,Diário!$A$5:$A$400,"&gt;="&amp;$A62,Diário!$A$5:$A$400,"&lt;="&amp;$B62))</f>
        <v/>
      </c>
      <c r="G62" s="14" t="str">
        <f aca="false">IF($A62="","",SUMIFS(Diário!$C$5:$C$400,Diário!$A$5:$A$400,"&gt;="&amp;$A62,Diário!$A$5:$A$400,"&lt;="&amp;$B62))</f>
        <v/>
      </c>
      <c r="H62" s="14" t="str">
        <f aca="false">IF(A62="","",SUM(D62:G62))</f>
        <v/>
      </c>
      <c r="I62" s="31" t="str">
        <f aca="false">IF($A62="","",SUMIFS(Diário!$G$5:$G$400,Diário!$A$5:$A$400,"&gt;="&amp;$A62,Diário!$A$5:$A$400,"&lt;="&amp;$B62))</f>
        <v/>
      </c>
      <c r="J62" s="32" t="str">
        <f aca="false">IF(A62="","",IF(H62=0,0,I62/H62))</f>
        <v/>
      </c>
      <c r="K62" s="15" t="str">
        <f aca="false">IF(A62="","",IF(I62=0,0,E62*Premissas!$C$5/I62))</f>
        <v/>
      </c>
      <c r="L62" s="33" t="str">
        <f aca="false">IF(A62="","",IF(I61=0,"n/d",I62/I61-1))</f>
        <v/>
      </c>
    </row>
    <row r="63" customFormat="false" ht="14.25" hidden="false" customHeight="true" outlineLevel="0" collapsed="false">
      <c r="A63" s="30" t="str">
        <f aca="false">IF(B62="","",IF(B62+1&gt;MAX(Diário!$A$5:$A$400),"",B62+1))</f>
        <v/>
      </c>
      <c r="B63" s="30" t="str">
        <f aca="false">IF(A63="","",A63+6)</f>
        <v/>
      </c>
      <c r="C63" s="14" t="str">
        <f aca="false">IF(A63="","",COUNTIFS(Diário!$A$5:$A$400,"&gt;="&amp;$A63,Diário!$A$5:$A$400,"&lt;="&amp;$B63))</f>
        <v/>
      </c>
      <c r="D63" s="14" t="str">
        <f aca="false">IF($A63="","",SUMIFS(Diário!$B$5:$B$400,Diário!$A$5:$A$400,"&gt;="&amp;$A63,Diário!$A$5:$A$400,"&lt;="&amp;$B63))</f>
        <v/>
      </c>
      <c r="E63" s="14" t="str">
        <f aca="false">IF($A63="","",SUMIFS(Diário!$E$5:$E$400,Diário!$A$5:$A$400,"&gt;="&amp;$A63,Diário!$A$5:$A$400,"&lt;="&amp;$B63))</f>
        <v/>
      </c>
      <c r="F63" s="14" t="str">
        <f aca="false">IF($A63="","",SUMIFS(Diário!$D$5:$D$400,Diário!$A$5:$A$400,"&gt;="&amp;$A63,Diário!$A$5:$A$400,"&lt;="&amp;$B63))</f>
        <v/>
      </c>
      <c r="G63" s="14" t="str">
        <f aca="false">IF($A63="","",SUMIFS(Diário!$C$5:$C$400,Diário!$A$5:$A$400,"&gt;="&amp;$A63,Diário!$A$5:$A$400,"&lt;="&amp;$B63))</f>
        <v/>
      </c>
      <c r="H63" s="14" t="str">
        <f aca="false">IF(A63="","",SUM(D63:G63))</f>
        <v/>
      </c>
      <c r="I63" s="31" t="str">
        <f aca="false">IF($A63="","",SUMIFS(Diário!$G$5:$G$400,Diário!$A$5:$A$400,"&gt;="&amp;$A63,Diário!$A$5:$A$400,"&lt;="&amp;$B63))</f>
        <v/>
      </c>
      <c r="J63" s="32" t="str">
        <f aca="false">IF(A63="","",IF(H63=0,0,I63/H63))</f>
        <v/>
      </c>
      <c r="K63" s="15" t="str">
        <f aca="false">IF(A63="","",IF(I63=0,0,E63*Premissas!$C$5/I63))</f>
        <v/>
      </c>
      <c r="L63" s="33" t="str">
        <f aca="false">IF(A63="","",IF(I62=0,"n/d",I63/I62-1))</f>
        <v/>
      </c>
    </row>
    <row r="64" customFormat="false" ht="14.25" hidden="false" customHeight="true" outlineLevel="0" collapsed="false">
      <c r="A64" s="30" t="str">
        <f aca="false">IF(B63="","",IF(B63+1&gt;MAX(Diário!$A$5:$A$400),"",B63+1))</f>
        <v/>
      </c>
      <c r="B64" s="30" t="str">
        <f aca="false">IF(A64="","",A64+6)</f>
        <v/>
      </c>
      <c r="C64" s="14" t="str">
        <f aca="false">IF(A64="","",COUNTIFS(Diário!$A$5:$A$400,"&gt;="&amp;$A64,Diário!$A$5:$A$400,"&lt;="&amp;$B64))</f>
        <v/>
      </c>
      <c r="D64" s="14" t="str">
        <f aca="false">IF($A64="","",SUMIFS(Diário!$B$5:$B$400,Diário!$A$5:$A$400,"&gt;="&amp;$A64,Diário!$A$5:$A$400,"&lt;="&amp;$B64))</f>
        <v/>
      </c>
      <c r="E64" s="14" t="str">
        <f aca="false">IF($A64="","",SUMIFS(Diário!$E$5:$E$400,Diário!$A$5:$A$400,"&gt;="&amp;$A64,Diário!$A$5:$A$400,"&lt;="&amp;$B64))</f>
        <v/>
      </c>
      <c r="F64" s="14" t="str">
        <f aca="false">IF($A64="","",SUMIFS(Diário!$D$5:$D$400,Diário!$A$5:$A$400,"&gt;="&amp;$A64,Diário!$A$5:$A$400,"&lt;="&amp;$B64))</f>
        <v/>
      </c>
      <c r="G64" s="14" t="str">
        <f aca="false">IF($A64="","",SUMIFS(Diário!$C$5:$C$400,Diário!$A$5:$A$400,"&gt;="&amp;$A64,Diário!$A$5:$A$400,"&lt;="&amp;$B64))</f>
        <v/>
      </c>
      <c r="H64" s="14" t="str">
        <f aca="false">IF(A64="","",SUM(D64:G64))</f>
        <v/>
      </c>
      <c r="I64" s="31" t="str">
        <f aca="false">IF($A64="","",SUMIFS(Diário!$G$5:$G$400,Diário!$A$5:$A$400,"&gt;="&amp;$A64,Diário!$A$5:$A$400,"&lt;="&amp;$B64))</f>
        <v/>
      </c>
      <c r="J64" s="32" t="str">
        <f aca="false">IF(A64="","",IF(H64=0,0,I64/H64))</f>
        <v/>
      </c>
      <c r="K64" s="15" t="str">
        <f aca="false">IF(A64="","",IF(I64=0,0,E64*Premissas!$C$5/I64))</f>
        <v/>
      </c>
      <c r="L64" s="33" t="str">
        <f aca="false">IF(A64="","",IF(I63=0,"n/d",I64/I63-1))</f>
        <v/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2" activeCellId="0" sqref="A2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5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8" min="7" style="1" width="16"/>
    <col collapsed="false" customWidth="true" hidden="false" outlineLevel="0" max="9" min="9" style="1" width="18"/>
    <col collapsed="false" customWidth="true" hidden="false" outlineLevel="0" max="10" min="10" style="1" width="16"/>
    <col collapsed="false" customWidth="true" hidden="false" outlineLevel="0" max="11" min="11" style="1" width="18"/>
    <col collapsed="false" customWidth="true" hidden="false" outlineLevel="0" max="12" min="12" style="1" width="16"/>
    <col collapsed="false" customWidth="true" hidden="false" outlineLevel="0" max="14" min="13" style="1" width="18"/>
    <col collapsed="false" customWidth="true" hidden="false" outlineLevel="0" max="15" min="15" style="1" width="20"/>
  </cols>
  <sheetData>
    <row r="1" customFormat="false" ht="18" hidden="false" customHeight="true" outlineLevel="0" collapsed="false">
      <c r="A1" s="34" t="s">
        <v>35</v>
      </c>
    </row>
    <row r="2" customFormat="false" ht="14.25" hidden="false" customHeight="true" outlineLevel="0" collapsed="false">
      <c r="A2" s="35"/>
    </row>
    <row r="4" customFormat="false" ht="31.5" hidden="false" customHeight="true" outlineLevel="0" collapsed="false">
      <c r="A4" s="22" t="s">
        <v>25</v>
      </c>
      <c r="B4" s="22" t="s">
        <v>31</v>
      </c>
      <c r="C4" s="22" t="s">
        <v>3</v>
      </c>
      <c r="D4" s="22" t="s">
        <v>4</v>
      </c>
      <c r="E4" s="22" t="s">
        <v>5</v>
      </c>
      <c r="F4" s="22" t="s">
        <v>6</v>
      </c>
      <c r="G4" s="22" t="s">
        <v>23</v>
      </c>
      <c r="H4" s="22" t="s">
        <v>36</v>
      </c>
      <c r="I4" s="22" t="s">
        <v>37</v>
      </c>
      <c r="J4" s="22" t="s">
        <v>38</v>
      </c>
      <c r="K4" s="22" t="s">
        <v>39</v>
      </c>
      <c r="L4" s="22" t="s">
        <v>40</v>
      </c>
      <c r="M4" s="22" t="s">
        <v>32</v>
      </c>
      <c r="N4" s="22" t="s">
        <v>33</v>
      </c>
      <c r="O4" s="22" t="s">
        <v>41</v>
      </c>
    </row>
    <row r="5" customFormat="false" ht="14.25" hidden="false" customHeight="true" outlineLevel="0" collapsed="false">
      <c r="A5" s="36" t="n">
        <f aca="false">IF(COUNT(Diário!$H$5:$H$400)=0,"",MIN(Diário!$H$5:$H$400))</f>
        <v>46296</v>
      </c>
      <c r="B5" s="14" t="n">
        <f aca="false">IF(A5="","",COUNTIFS(Diário!$H$5:$H$400,A5))</f>
        <v>13</v>
      </c>
      <c r="C5" s="14" t="n">
        <f aca="false">IF($A5="","",SUMIFS(Diário!$B$5:$B$400,Diário!$H$5:$H$400,$A5))</f>
        <v>160207</v>
      </c>
      <c r="D5" s="14" t="n">
        <f aca="false">IF($A5="","",SUMIFS(Diário!$E$5:$E$400,Diário!$H$5:$H$400,$A5))</f>
        <v>10984</v>
      </c>
      <c r="E5" s="14" t="n">
        <f aca="false">IF($A5="","",SUMIFS(Diário!$D$5:$D$400,Diário!$H$5:$H$400,$A5))</f>
        <v>0</v>
      </c>
      <c r="F5" s="14" t="n">
        <f aca="false">IF($A5="","",SUMIFS(Diário!$C$5:$C$400,Diário!$H$5:$H$400,$A5))</f>
        <v>0</v>
      </c>
      <c r="G5" s="14" t="n">
        <f aca="false">IF(A5="","",SUM(C5:F5))</f>
        <v>171191</v>
      </c>
      <c r="H5" s="31" t="n">
        <f aca="false">IF(A5="","",C5*Premissas!$C$4)</f>
        <v>14418.63</v>
      </c>
      <c r="I5" s="31" t="n">
        <f aca="false">IF(A5="","",D5*Premissas!$C$5)</f>
        <v>5931.36</v>
      </c>
      <c r="J5" s="31" t="n">
        <f aca="false">IF(A5="","",E5*Premissas!$C$6)</f>
        <v>0</v>
      </c>
      <c r="K5" s="31" t="n">
        <f aca="false">IF(A5="","",F5*Premissas!$C$7)</f>
        <v>0</v>
      </c>
      <c r="L5" s="37" t="n">
        <f aca="false">IF(A5="","",SUM(H5:K5))</f>
        <v>20349.99</v>
      </c>
      <c r="M5" s="32" t="n">
        <f aca="false">IF(A5="","",IF(G5=0,0,L5/G5))</f>
        <v>0.118873013184104</v>
      </c>
      <c r="N5" s="15" t="n">
        <f aca="false">IF(A5="","",IF(L5=0,0,I5/L5))</f>
        <v>0.291467465094578</v>
      </c>
      <c r="O5" s="33" t="str">
        <f aca="false">IF(A5="","","n/d")</f>
        <v>n/d</v>
      </c>
    </row>
    <row r="6" customFormat="false" ht="14.25" hidden="false" customHeight="true" outlineLevel="0" collapsed="false">
      <c r="A6" s="36" t="str">
        <f aca="false">IF(A5="","",IF(EDATE(A5,1)&gt;MAX(Diário!$A$5:$A$400),"",EDATE(A5,1)))</f>
        <v/>
      </c>
      <c r="B6" s="14" t="str">
        <f aca="false">IF(A6="","",COUNTIFS(Diário!$H$5:$H$400,A6))</f>
        <v/>
      </c>
      <c r="C6" s="14" t="str">
        <f aca="false">IF($A6="","",SUMIFS(Diário!$B$5:$B$400,Diário!$H$5:$H$400,$A6))</f>
        <v/>
      </c>
      <c r="D6" s="14" t="str">
        <f aca="false">IF($A6="","",SUMIFS(Diário!$E$5:$E$400,Diário!$H$5:$H$400,$A6))</f>
        <v/>
      </c>
      <c r="E6" s="14" t="str">
        <f aca="false">IF($A6="","",SUMIFS(Diário!$D$5:$D$400,Diário!$H$5:$H$400,$A6))</f>
        <v/>
      </c>
      <c r="F6" s="14" t="str">
        <f aca="false">IF($A6="","",SUMIFS(Diário!$C$5:$C$400,Diário!$H$5:$H$400,$A6))</f>
        <v/>
      </c>
      <c r="G6" s="14" t="str">
        <f aca="false">IF(A6="","",SUM(C6:F6))</f>
        <v/>
      </c>
      <c r="H6" s="31" t="str">
        <f aca="false">IF(A6="","",C6*Premissas!$C$4)</f>
        <v/>
      </c>
      <c r="I6" s="31" t="str">
        <f aca="false">IF(A6="","",D6*Premissas!$C$5)</f>
        <v/>
      </c>
      <c r="J6" s="31" t="str">
        <f aca="false">IF(A6="","",E6*Premissas!$C$6)</f>
        <v/>
      </c>
      <c r="K6" s="31" t="str">
        <f aca="false">IF(A6="","",F6*Premissas!$C$7)</f>
        <v/>
      </c>
      <c r="L6" s="37" t="str">
        <f aca="false">IF(A6="","",SUM(H6:K6))</f>
        <v/>
      </c>
      <c r="M6" s="32" t="str">
        <f aca="false">IF(A6="","",IF(G6=0,0,L6/G6))</f>
        <v/>
      </c>
      <c r="N6" s="15" t="str">
        <f aca="false">IF(A6="","",IF(L6=0,0,I6/L6))</f>
        <v/>
      </c>
      <c r="O6" s="33" t="str">
        <f aca="false">IF(A6="","",IF(L5=0,"n/d",L6/L5-1))</f>
        <v/>
      </c>
    </row>
    <row r="7" customFormat="false" ht="14.25" hidden="false" customHeight="true" outlineLevel="0" collapsed="false">
      <c r="A7" s="36" t="str">
        <f aca="false">IF(A6="","",IF(EDATE(A6,1)&gt;MAX(Diário!$A$5:$A$400),"",EDATE(A6,1)))</f>
        <v/>
      </c>
      <c r="B7" s="14" t="str">
        <f aca="false">IF(A7="","",COUNTIFS(Diário!$H$5:$H$400,A7))</f>
        <v/>
      </c>
      <c r="C7" s="14" t="str">
        <f aca="false">IF($A7="","",SUMIFS(Diário!$B$5:$B$400,Diário!$H$5:$H$400,$A7))</f>
        <v/>
      </c>
      <c r="D7" s="14" t="str">
        <f aca="false">IF($A7="","",SUMIFS(Diário!$E$5:$E$400,Diário!$H$5:$H$400,$A7))</f>
        <v/>
      </c>
      <c r="E7" s="14" t="str">
        <f aca="false">IF($A7="","",SUMIFS(Diário!$D$5:$D$400,Diário!$H$5:$H$400,$A7))</f>
        <v/>
      </c>
      <c r="F7" s="14" t="str">
        <f aca="false">IF($A7="","",SUMIFS(Diário!$C$5:$C$400,Diário!$H$5:$H$400,$A7))</f>
        <v/>
      </c>
      <c r="G7" s="14" t="str">
        <f aca="false">IF(A7="","",SUM(C7:F7))</f>
        <v/>
      </c>
      <c r="H7" s="31" t="str">
        <f aca="false">IF(A7="","",C7*Premissas!$C$4)</f>
        <v/>
      </c>
      <c r="I7" s="31" t="str">
        <f aca="false">IF(A7="","",D7*Premissas!$C$5)</f>
        <v/>
      </c>
      <c r="J7" s="31" t="str">
        <f aca="false">IF(A7="","",E7*Premissas!$C$6)</f>
        <v/>
      </c>
      <c r="K7" s="31" t="str">
        <f aca="false">IF(A7="","",F7*Premissas!$C$7)</f>
        <v/>
      </c>
      <c r="L7" s="37" t="str">
        <f aca="false">IF(A7="","",SUM(H7:K7))</f>
        <v/>
      </c>
      <c r="M7" s="32" t="str">
        <f aca="false">IF(A7="","",IF(G7=0,0,L7/G7))</f>
        <v/>
      </c>
      <c r="N7" s="15" t="str">
        <f aca="false">IF(A7="","",IF(L7=0,0,I7/L7))</f>
        <v/>
      </c>
      <c r="O7" s="33" t="str">
        <f aca="false">IF(A7="","",IF(L6=0,"n/d",L7/L6-1))</f>
        <v/>
      </c>
    </row>
    <row r="8" customFormat="false" ht="14.25" hidden="false" customHeight="true" outlineLevel="0" collapsed="false">
      <c r="A8" s="36" t="str">
        <f aca="false">IF(A7="","",IF(EDATE(A7,1)&gt;MAX(Diário!$A$5:$A$400),"",EDATE(A7,1)))</f>
        <v/>
      </c>
      <c r="B8" s="14" t="str">
        <f aca="false">IF(A8="","",COUNTIFS(Diário!$H$5:$H$400,A8))</f>
        <v/>
      </c>
      <c r="C8" s="14" t="str">
        <f aca="false">IF($A8="","",SUMIFS(Diário!$B$5:$B$400,Diário!$H$5:$H$400,$A8))</f>
        <v/>
      </c>
      <c r="D8" s="14" t="str">
        <f aca="false">IF($A8="","",SUMIFS(Diário!$E$5:$E$400,Diário!$H$5:$H$400,$A8))</f>
        <v/>
      </c>
      <c r="E8" s="14" t="str">
        <f aca="false">IF($A8="","",SUMIFS(Diário!$D$5:$D$400,Diário!$H$5:$H$400,$A8))</f>
        <v/>
      </c>
      <c r="F8" s="14" t="str">
        <f aca="false">IF($A8="","",SUMIFS(Diário!$C$5:$C$400,Diário!$H$5:$H$400,$A8))</f>
        <v/>
      </c>
      <c r="G8" s="14" t="str">
        <f aca="false">IF(A8="","",SUM(C8:F8))</f>
        <v/>
      </c>
      <c r="H8" s="31" t="str">
        <f aca="false">IF(A8="","",C8*Premissas!$C$4)</f>
        <v/>
      </c>
      <c r="I8" s="31" t="str">
        <f aca="false">IF(A8="","",D8*Premissas!$C$5)</f>
        <v/>
      </c>
      <c r="J8" s="31" t="str">
        <f aca="false">IF(A8="","",E8*Premissas!$C$6)</f>
        <v/>
      </c>
      <c r="K8" s="31" t="str">
        <f aca="false">IF(A8="","",F8*Premissas!$C$7)</f>
        <v/>
      </c>
      <c r="L8" s="37" t="str">
        <f aca="false">IF(A8="","",SUM(H8:K8))</f>
        <v/>
      </c>
      <c r="M8" s="32" t="str">
        <f aca="false">IF(A8="","",IF(G8=0,0,L8/G8))</f>
        <v/>
      </c>
      <c r="N8" s="15" t="str">
        <f aca="false">IF(A8="","",IF(L8=0,0,I8/L8))</f>
        <v/>
      </c>
      <c r="O8" s="33" t="str">
        <f aca="false">IF(A8="","",IF(L7=0,"n/d",L8/L7-1))</f>
        <v/>
      </c>
    </row>
    <row r="9" customFormat="false" ht="14.25" hidden="false" customHeight="true" outlineLevel="0" collapsed="false">
      <c r="A9" s="36" t="str">
        <f aca="false">IF(A8="","",IF(EDATE(A8,1)&gt;MAX(Diário!$A$5:$A$400),"",EDATE(A8,1)))</f>
        <v/>
      </c>
      <c r="B9" s="14" t="str">
        <f aca="false">IF(A9="","",COUNTIFS(Diário!$H$5:$H$400,A9))</f>
        <v/>
      </c>
      <c r="C9" s="14" t="str">
        <f aca="false">IF($A9="","",SUMIFS(Diário!$B$5:$B$400,Diário!$H$5:$H$400,$A9))</f>
        <v/>
      </c>
      <c r="D9" s="14" t="str">
        <f aca="false">IF($A9="","",SUMIFS(Diário!$E$5:$E$400,Diário!$H$5:$H$400,$A9))</f>
        <v/>
      </c>
      <c r="E9" s="14" t="str">
        <f aca="false">IF($A9="","",SUMIFS(Diário!$D$5:$D$400,Diário!$H$5:$H$400,$A9))</f>
        <v/>
      </c>
      <c r="F9" s="14" t="str">
        <f aca="false">IF($A9="","",SUMIFS(Diário!$C$5:$C$400,Diário!$H$5:$H$400,$A9))</f>
        <v/>
      </c>
      <c r="G9" s="14" t="str">
        <f aca="false">IF(A9="","",SUM(C9:F9))</f>
        <v/>
      </c>
      <c r="H9" s="31" t="str">
        <f aca="false">IF(A9="","",C9*Premissas!$C$4)</f>
        <v/>
      </c>
      <c r="I9" s="31" t="str">
        <f aca="false">IF(A9="","",D9*Premissas!$C$5)</f>
        <v/>
      </c>
      <c r="J9" s="31" t="str">
        <f aca="false">IF(A9="","",E9*Premissas!$C$6)</f>
        <v/>
      </c>
      <c r="K9" s="31" t="str">
        <f aca="false">IF(A9="","",F9*Premissas!$C$7)</f>
        <v/>
      </c>
      <c r="L9" s="37" t="str">
        <f aca="false">IF(A9="","",SUM(H9:K9))</f>
        <v/>
      </c>
      <c r="M9" s="32" t="str">
        <f aca="false">IF(A9="","",IF(G9=0,0,L9/G9))</f>
        <v/>
      </c>
      <c r="N9" s="15" t="str">
        <f aca="false">IF(A9="","",IF(L9=0,0,I9/L9))</f>
        <v/>
      </c>
      <c r="O9" s="33" t="str">
        <f aca="false">IF(A9="","",IF(L8=0,"n/d",L9/L8-1))</f>
        <v/>
      </c>
    </row>
    <row r="10" customFormat="false" ht="14.25" hidden="false" customHeight="true" outlineLevel="0" collapsed="false">
      <c r="A10" s="36" t="str">
        <f aca="false">IF(A9="","",IF(EDATE(A9,1)&gt;MAX(Diário!$A$5:$A$400),"",EDATE(A9,1)))</f>
        <v/>
      </c>
      <c r="B10" s="14" t="str">
        <f aca="false">IF(A10="","",COUNTIFS(Diário!$H$5:$H$400,A10))</f>
        <v/>
      </c>
      <c r="C10" s="14" t="str">
        <f aca="false">IF($A10="","",SUMIFS(Diário!$B$5:$B$400,Diário!$H$5:$H$400,$A10))</f>
        <v/>
      </c>
      <c r="D10" s="14" t="str">
        <f aca="false">IF($A10="","",SUMIFS(Diário!$E$5:$E$400,Diário!$H$5:$H$400,$A10))</f>
        <v/>
      </c>
      <c r="E10" s="14" t="str">
        <f aca="false">IF($A10="","",SUMIFS(Diário!$D$5:$D$400,Diário!$H$5:$H$400,$A10))</f>
        <v/>
      </c>
      <c r="F10" s="14" t="str">
        <f aca="false">IF($A10="","",SUMIFS(Diário!$C$5:$C$400,Diário!$H$5:$H$400,$A10))</f>
        <v/>
      </c>
      <c r="G10" s="14" t="str">
        <f aca="false">IF(A10="","",SUM(C10:F10))</f>
        <v/>
      </c>
      <c r="H10" s="31" t="str">
        <f aca="false">IF(A10="","",C10*Premissas!$C$4)</f>
        <v/>
      </c>
      <c r="I10" s="31" t="str">
        <f aca="false">IF(A10="","",D10*Premissas!$C$5)</f>
        <v/>
      </c>
      <c r="J10" s="31" t="str">
        <f aca="false">IF(A10="","",E10*Premissas!$C$6)</f>
        <v/>
      </c>
      <c r="K10" s="31" t="str">
        <f aca="false">IF(A10="","",F10*Premissas!$C$7)</f>
        <v/>
      </c>
      <c r="L10" s="37" t="str">
        <f aca="false">IF(A10="","",SUM(H10:K10))</f>
        <v/>
      </c>
      <c r="M10" s="32" t="str">
        <f aca="false">IF(A10="","",IF(G10=0,0,L10/G10))</f>
        <v/>
      </c>
      <c r="N10" s="15" t="str">
        <f aca="false">IF(A10="","",IF(L10=0,0,I10/L10))</f>
        <v/>
      </c>
      <c r="O10" s="33" t="str">
        <f aca="false">IF(A10="","",IF(L9=0,"n/d",L10/L9-1))</f>
        <v/>
      </c>
    </row>
    <row r="11" customFormat="false" ht="14.25" hidden="false" customHeight="true" outlineLevel="0" collapsed="false">
      <c r="A11" s="36" t="str">
        <f aca="false">IF(A10="","",IF(EDATE(A10,1)&gt;MAX(Diário!$A$5:$A$400),"",EDATE(A10,1)))</f>
        <v/>
      </c>
      <c r="B11" s="14" t="str">
        <f aca="false">IF(A11="","",COUNTIFS(Diário!$H$5:$H$400,A11))</f>
        <v/>
      </c>
      <c r="C11" s="14" t="str">
        <f aca="false">IF($A11="","",SUMIFS(Diário!$B$5:$B$400,Diário!$H$5:$H$400,$A11))</f>
        <v/>
      </c>
      <c r="D11" s="14" t="str">
        <f aca="false">IF($A11="","",SUMIFS(Diário!$E$5:$E$400,Diário!$H$5:$H$400,$A11))</f>
        <v/>
      </c>
      <c r="E11" s="14" t="str">
        <f aca="false">IF($A11="","",SUMIFS(Diário!$D$5:$D$400,Diário!$H$5:$H$400,$A11))</f>
        <v/>
      </c>
      <c r="F11" s="14" t="str">
        <f aca="false">IF($A11="","",SUMIFS(Diário!$C$5:$C$400,Diário!$H$5:$H$400,$A11))</f>
        <v/>
      </c>
      <c r="G11" s="14" t="str">
        <f aca="false">IF(A11="","",SUM(C11:F11))</f>
        <v/>
      </c>
      <c r="H11" s="31" t="str">
        <f aca="false">IF(A11="","",C11*Premissas!$C$4)</f>
        <v/>
      </c>
      <c r="I11" s="31" t="str">
        <f aca="false">IF(A11="","",D11*Premissas!$C$5)</f>
        <v/>
      </c>
      <c r="J11" s="31" t="str">
        <f aca="false">IF(A11="","",E11*Premissas!$C$6)</f>
        <v/>
      </c>
      <c r="K11" s="31" t="str">
        <f aca="false">IF(A11="","",F11*Premissas!$C$7)</f>
        <v/>
      </c>
      <c r="L11" s="37" t="str">
        <f aca="false">IF(A11="","",SUM(H11:K11))</f>
        <v/>
      </c>
      <c r="M11" s="32" t="str">
        <f aca="false">IF(A11="","",IF(G11=0,0,L11/G11))</f>
        <v/>
      </c>
      <c r="N11" s="15" t="str">
        <f aca="false">IF(A11="","",IF(L11=0,0,I11/L11))</f>
        <v/>
      </c>
      <c r="O11" s="33" t="str">
        <f aca="false">IF(A11="","",IF(L10=0,"n/d",L11/L10-1))</f>
        <v/>
      </c>
    </row>
    <row r="12" customFormat="false" ht="14.25" hidden="false" customHeight="true" outlineLevel="0" collapsed="false">
      <c r="A12" s="36" t="str">
        <f aca="false">IF(A11="","",IF(EDATE(A11,1)&gt;MAX(Diário!$A$5:$A$400),"",EDATE(A11,1)))</f>
        <v/>
      </c>
      <c r="B12" s="14" t="str">
        <f aca="false">IF(A12="","",COUNTIFS(Diário!$H$5:$H$400,A12))</f>
        <v/>
      </c>
      <c r="C12" s="14" t="str">
        <f aca="false">IF($A12="","",SUMIFS(Diário!$B$5:$B$400,Diário!$H$5:$H$400,$A12))</f>
        <v/>
      </c>
      <c r="D12" s="14" t="str">
        <f aca="false">IF($A12="","",SUMIFS(Diário!$E$5:$E$400,Diário!$H$5:$H$400,$A12))</f>
        <v/>
      </c>
      <c r="E12" s="14" t="str">
        <f aca="false">IF($A12="","",SUMIFS(Diário!$D$5:$D$400,Diário!$H$5:$H$400,$A12))</f>
        <v/>
      </c>
      <c r="F12" s="14" t="str">
        <f aca="false">IF($A12="","",SUMIFS(Diário!$C$5:$C$400,Diário!$H$5:$H$400,$A12))</f>
        <v/>
      </c>
      <c r="G12" s="14" t="str">
        <f aca="false">IF(A12="","",SUM(C12:F12))</f>
        <v/>
      </c>
      <c r="H12" s="31" t="str">
        <f aca="false">IF(A12="","",C12*Premissas!$C$4)</f>
        <v/>
      </c>
      <c r="I12" s="31" t="str">
        <f aca="false">IF(A12="","",D12*Premissas!$C$5)</f>
        <v/>
      </c>
      <c r="J12" s="31" t="str">
        <f aca="false">IF(A12="","",E12*Premissas!$C$6)</f>
        <v/>
      </c>
      <c r="K12" s="31" t="str">
        <f aca="false">IF(A12="","",F12*Premissas!$C$7)</f>
        <v/>
      </c>
      <c r="L12" s="37" t="str">
        <f aca="false">IF(A12="","",SUM(H12:K12))</f>
        <v/>
      </c>
      <c r="M12" s="32" t="str">
        <f aca="false">IF(A12="","",IF(G12=0,0,L12/G12))</f>
        <v/>
      </c>
      <c r="N12" s="15" t="str">
        <f aca="false">IF(A12="","",IF(L12=0,0,I12/L12))</f>
        <v/>
      </c>
      <c r="O12" s="33" t="str">
        <f aca="false">IF(A12="","",IF(L11=0,"n/d",L12/L11-1))</f>
        <v/>
      </c>
    </row>
    <row r="13" customFormat="false" ht="14.25" hidden="false" customHeight="true" outlineLevel="0" collapsed="false">
      <c r="A13" s="36" t="str">
        <f aca="false">IF(A12="","",IF(EDATE(A12,1)&gt;MAX(Diário!$A$5:$A$400),"",EDATE(A12,1)))</f>
        <v/>
      </c>
      <c r="B13" s="14" t="str">
        <f aca="false">IF(A13="","",COUNTIFS(Diário!$H$5:$H$400,A13))</f>
        <v/>
      </c>
      <c r="C13" s="14" t="str">
        <f aca="false">IF($A13="","",SUMIFS(Diário!$B$5:$B$400,Diário!$H$5:$H$400,$A13))</f>
        <v/>
      </c>
      <c r="D13" s="14" t="str">
        <f aca="false">IF($A13="","",SUMIFS(Diário!$E$5:$E$400,Diário!$H$5:$H$400,$A13))</f>
        <v/>
      </c>
      <c r="E13" s="14" t="str">
        <f aca="false">IF($A13="","",SUMIFS(Diário!$D$5:$D$400,Diário!$H$5:$H$400,$A13))</f>
        <v/>
      </c>
      <c r="F13" s="14" t="str">
        <f aca="false">IF($A13="","",SUMIFS(Diário!$C$5:$C$400,Diário!$H$5:$H$400,$A13))</f>
        <v/>
      </c>
      <c r="G13" s="14" t="str">
        <f aca="false">IF(A13="","",SUM(C13:F13))</f>
        <v/>
      </c>
      <c r="H13" s="31" t="str">
        <f aca="false">IF(A13="","",C13*Premissas!$C$4)</f>
        <v/>
      </c>
      <c r="I13" s="31" t="str">
        <f aca="false">IF(A13="","",D13*Premissas!$C$5)</f>
        <v/>
      </c>
      <c r="J13" s="31" t="str">
        <f aca="false">IF(A13="","",E13*Premissas!$C$6)</f>
        <v/>
      </c>
      <c r="K13" s="31" t="str">
        <f aca="false">IF(A13="","",F13*Premissas!$C$7)</f>
        <v/>
      </c>
      <c r="L13" s="37" t="str">
        <f aca="false">IF(A13="","",SUM(H13:K13))</f>
        <v/>
      </c>
      <c r="M13" s="32" t="str">
        <f aca="false">IF(A13="","",IF(G13=0,0,L13/G13))</f>
        <v/>
      </c>
      <c r="N13" s="15" t="str">
        <f aca="false">IF(A13="","",IF(L13=0,0,I13/L13))</f>
        <v/>
      </c>
      <c r="O13" s="33" t="str">
        <f aca="false">IF(A13="","",IF(L12=0,"n/d",L13/L12-1))</f>
        <v/>
      </c>
    </row>
    <row r="14" customFormat="false" ht="14.25" hidden="false" customHeight="true" outlineLevel="0" collapsed="false">
      <c r="A14" s="36" t="str">
        <f aca="false">IF(A13="","",IF(EDATE(A13,1)&gt;MAX(Diário!$A$5:$A$400),"",EDATE(A13,1)))</f>
        <v/>
      </c>
      <c r="B14" s="14" t="str">
        <f aca="false">IF(A14="","",COUNTIFS(Diário!$H$5:$H$400,A14))</f>
        <v/>
      </c>
      <c r="C14" s="14" t="str">
        <f aca="false">IF($A14="","",SUMIFS(Diário!$B$5:$B$400,Diário!$H$5:$H$400,$A14))</f>
        <v/>
      </c>
      <c r="D14" s="14" t="str">
        <f aca="false">IF($A14="","",SUMIFS(Diário!$E$5:$E$400,Diário!$H$5:$H$400,$A14))</f>
        <v/>
      </c>
      <c r="E14" s="14" t="str">
        <f aca="false">IF($A14="","",SUMIFS(Diário!$D$5:$D$400,Diário!$H$5:$H$400,$A14))</f>
        <v/>
      </c>
      <c r="F14" s="14" t="str">
        <f aca="false">IF($A14="","",SUMIFS(Diário!$C$5:$C$400,Diário!$H$5:$H$400,$A14))</f>
        <v/>
      </c>
      <c r="G14" s="14" t="str">
        <f aca="false">IF(A14="","",SUM(C14:F14))</f>
        <v/>
      </c>
      <c r="H14" s="31" t="str">
        <f aca="false">IF(A14="","",C14*Premissas!$C$4)</f>
        <v/>
      </c>
      <c r="I14" s="31" t="str">
        <f aca="false">IF(A14="","",D14*Premissas!$C$5)</f>
        <v/>
      </c>
      <c r="J14" s="31" t="str">
        <f aca="false">IF(A14="","",E14*Premissas!$C$6)</f>
        <v/>
      </c>
      <c r="K14" s="31" t="str">
        <f aca="false">IF(A14="","",F14*Premissas!$C$7)</f>
        <v/>
      </c>
      <c r="L14" s="37" t="str">
        <f aca="false">IF(A14="","",SUM(H14:K14))</f>
        <v/>
      </c>
      <c r="M14" s="32" t="str">
        <f aca="false">IF(A14="","",IF(G14=0,0,L14/G14))</f>
        <v/>
      </c>
      <c r="N14" s="15" t="str">
        <f aca="false">IF(A14="","",IF(L14=0,0,I14/L14))</f>
        <v/>
      </c>
      <c r="O14" s="33" t="str">
        <f aca="false">IF(A14="","",IF(L13=0,"n/d",L14/L13-1))</f>
        <v/>
      </c>
    </row>
    <row r="15" customFormat="false" ht="14.25" hidden="false" customHeight="true" outlineLevel="0" collapsed="false">
      <c r="A15" s="36" t="str">
        <f aca="false">IF(A14="","",IF(EDATE(A14,1)&gt;MAX(Diário!$A$5:$A$400),"",EDATE(A14,1)))</f>
        <v/>
      </c>
      <c r="B15" s="14" t="str">
        <f aca="false">IF(A15="","",COUNTIFS(Diário!$H$5:$H$400,A15))</f>
        <v/>
      </c>
      <c r="C15" s="14" t="str">
        <f aca="false">IF($A15="","",SUMIFS(Diário!$B$5:$B$400,Diário!$H$5:$H$400,$A15))</f>
        <v/>
      </c>
      <c r="D15" s="14" t="str">
        <f aca="false">IF($A15="","",SUMIFS(Diário!$E$5:$E$400,Diário!$H$5:$H$400,$A15))</f>
        <v/>
      </c>
      <c r="E15" s="14" t="str">
        <f aca="false">IF($A15="","",SUMIFS(Diário!$D$5:$D$400,Diário!$H$5:$H$400,$A15))</f>
        <v/>
      </c>
      <c r="F15" s="14" t="str">
        <f aca="false">IF($A15="","",SUMIFS(Diário!$C$5:$C$400,Diário!$H$5:$H$400,$A15))</f>
        <v/>
      </c>
      <c r="G15" s="14" t="str">
        <f aca="false">IF(A15="","",SUM(C15:F15))</f>
        <v/>
      </c>
      <c r="H15" s="31" t="str">
        <f aca="false">IF(A15="","",C15*Premissas!$C$4)</f>
        <v/>
      </c>
      <c r="I15" s="31" t="str">
        <f aca="false">IF(A15="","",D15*Premissas!$C$5)</f>
        <v/>
      </c>
      <c r="J15" s="31" t="str">
        <f aca="false">IF(A15="","",E15*Premissas!$C$6)</f>
        <v/>
      </c>
      <c r="K15" s="31" t="str">
        <f aca="false">IF(A15="","",F15*Premissas!$C$7)</f>
        <v/>
      </c>
      <c r="L15" s="37" t="str">
        <f aca="false">IF(A15="","",SUM(H15:K15))</f>
        <v/>
      </c>
      <c r="M15" s="32" t="str">
        <f aca="false">IF(A15="","",IF(G15=0,0,L15/G15))</f>
        <v/>
      </c>
      <c r="N15" s="15" t="str">
        <f aca="false">IF(A15="","",IF(L15=0,0,I15/L15))</f>
        <v/>
      </c>
      <c r="O15" s="33" t="str">
        <f aca="false">IF(A15="","",IF(L14=0,"n/d",L15/L14-1))</f>
        <v/>
      </c>
    </row>
    <row r="16" customFormat="false" ht="14.25" hidden="false" customHeight="true" outlineLevel="0" collapsed="false">
      <c r="A16" s="36" t="str">
        <f aca="false">IF(A15="","",IF(EDATE(A15,1)&gt;MAX(Diário!$A$5:$A$400),"",EDATE(A15,1)))</f>
        <v/>
      </c>
      <c r="B16" s="14" t="str">
        <f aca="false">IF(A16="","",COUNTIFS(Diário!$H$5:$H$400,A16))</f>
        <v/>
      </c>
      <c r="C16" s="14" t="str">
        <f aca="false">IF($A16="","",SUMIFS(Diário!$B$5:$B$400,Diário!$H$5:$H$400,$A16))</f>
        <v/>
      </c>
      <c r="D16" s="14" t="str">
        <f aca="false">IF($A16="","",SUMIFS(Diário!$E$5:$E$400,Diário!$H$5:$H$400,$A16))</f>
        <v/>
      </c>
      <c r="E16" s="14" t="str">
        <f aca="false">IF($A16="","",SUMIFS(Diário!$D$5:$D$400,Diário!$H$5:$H$400,$A16))</f>
        <v/>
      </c>
      <c r="F16" s="14" t="str">
        <f aca="false">IF($A16="","",SUMIFS(Diário!$C$5:$C$400,Diário!$H$5:$H$400,$A16))</f>
        <v/>
      </c>
      <c r="G16" s="14" t="str">
        <f aca="false">IF(A16="","",SUM(C16:F16))</f>
        <v/>
      </c>
      <c r="H16" s="31" t="str">
        <f aca="false">IF(A16="","",C16*Premissas!$C$4)</f>
        <v/>
      </c>
      <c r="I16" s="31" t="str">
        <f aca="false">IF(A16="","",D16*Premissas!$C$5)</f>
        <v/>
      </c>
      <c r="J16" s="31" t="str">
        <f aca="false">IF(A16="","",E16*Premissas!$C$6)</f>
        <v/>
      </c>
      <c r="K16" s="31" t="str">
        <f aca="false">IF(A16="","",F16*Premissas!$C$7)</f>
        <v/>
      </c>
      <c r="L16" s="37" t="str">
        <f aca="false">IF(A16="","",SUM(H16:K16))</f>
        <v/>
      </c>
      <c r="M16" s="32" t="str">
        <f aca="false">IF(A16="","",IF(G16=0,0,L16/G16))</f>
        <v/>
      </c>
      <c r="N16" s="15" t="str">
        <f aca="false">IF(A16="","",IF(L16=0,0,I16/L16))</f>
        <v/>
      </c>
      <c r="O16" s="33" t="str">
        <f aca="false">IF(A16="","",IF(L15=0,"n/d",L16/L15-1))</f>
        <v/>
      </c>
    </row>
    <row r="17" customFormat="false" ht="14.25" hidden="false" customHeight="true" outlineLevel="0" collapsed="false">
      <c r="A17" s="36" t="str">
        <f aca="false">IF(A16="","",IF(EDATE(A16,1)&gt;MAX(Diário!$A$5:$A$400),"",EDATE(A16,1)))</f>
        <v/>
      </c>
      <c r="B17" s="14" t="str">
        <f aca="false">IF(A17="","",COUNTIFS(Diário!$H$5:$H$400,A17))</f>
        <v/>
      </c>
      <c r="C17" s="14" t="str">
        <f aca="false">IF($A17="","",SUMIFS(Diário!$B$5:$B$400,Diário!$H$5:$H$400,$A17))</f>
        <v/>
      </c>
      <c r="D17" s="14" t="str">
        <f aca="false">IF($A17="","",SUMIFS(Diário!$E$5:$E$400,Diário!$H$5:$H$400,$A17))</f>
        <v/>
      </c>
      <c r="E17" s="14" t="str">
        <f aca="false">IF($A17="","",SUMIFS(Diário!$D$5:$D$400,Diário!$H$5:$H$400,$A17))</f>
        <v/>
      </c>
      <c r="F17" s="14" t="str">
        <f aca="false">IF($A17="","",SUMIFS(Diário!$C$5:$C$400,Diário!$H$5:$H$400,$A17))</f>
        <v/>
      </c>
      <c r="G17" s="14" t="str">
        <f aca="false">IF(A17="","",SUM(C17:F17))</f>
        <v/>
      </c>
      <c r="H17" s="31" t="str">
        <f aca="false">IF(A17="","",C17*Premissas!$C$4)</f>
        <v/>
      </c>
      <c r="I17" s="31" t="str">
        <f aca="false">IF(A17="","",D17*Premissas!$C$5)</f>
        <v/>
      </c>
      <c r="J17" s="31" t="str">
        <f aca="false">IF(A17="","",E17*Premissas!$C$6)</f>
        <v/>
      </c>
      <c r="K17" s="31" t="str">
        <f aca="false">IF(A17="","",F17*Premissas!$C$7)</f>
        <v/>
      </c>
      <c r="L17" s="37" t="str">
        <f aca="false">IF(A17="","",SUM(H17:K17))</f>
        <v/>
      </c>
      <c r="M17" s="32" t="str">
        <f aca="false">IF(A17="","",IF(G17=0,0,L17/G17))</f>
        <v/>
      </c>
      <c r="N17" s="15" t="str">
        <f aca="false">IF(A17="","",IF(L17=0,0,I17/L17))</f>
        <v/>
      </c>
      <c r="O17" s="33" t="str">
        <f aca="false">IF(A17="","",IF(L16=0,"n/d",L17/L16-1))</f>
        <v/>
      </c>
    </row>
    <row r="18" customFormat="false" ht="14.25" hidden="false" customHeight="true" outlineLevel="0" collapsed="false">
      <c r="A18" s="36" t="str">
        <f aca="false">IF(A17="","",IF(EDATE(A17,1)&gt;MAX(Diário!$A$5:$A$400),"",EDATE(A17,1)))</f>
        <v/>
      </c>
      <c r="B18" s="14" t="str">
        <f aca="false">IF(A18="","",COUNTIFS(Diário!$H$5:$H$400,A18))</f>
        <v/>
      </c>
      <c r="C18" s="14" t="str">
        <f aca="false">IF($A18="","",SUMIFS(Diário!$B$5:$B$400,Diário!$H$5:$H$400,$A18))</f>
        <v/>
      </c>
      <c r="D18" s="14" t="str">
        <f aca="false">IF($A18="","",SUMIFS(Diário!$E$5:$E$400,Diário!$H$5:$H$400,$A18))</f>
        <v/>
      </c>
      <c r="E18" s="14" t="str">
        <f aca="false">IF($A18="","",SUMIFS(Diário!$D$5:$D$400,Diário!$H$5:$H$400,$A18))</f>
        <v/>
      </c>
      <c r="F18" s="14" t="str">
        <f aca="false">IF($A18="","",SUMIFS(Diário!$C$5:$C$400,Diário!$H$5:$H$400,$A18))</f>
        <v/>
      </c>
      <c r="G18" s="14" t="str">
        <f aca="false">IF(A18="","",SUM(C18:F18))</f>
        <v/>
      </c>
      <c r="H18" s="31" t="str">
        <f aca="false">IF(A18="","",C18*Premissas!$C$4)</f>
        <v/>
      </c>
      <c r="I18" s="31" t="str">
        <f aca="false">IF(A18="","",D18*Premissas!$C$5)</f>
        <v/>
      </c>
      <c r="J18" s="31" t="str">
        <f aca="false">IF(A18="","",E18*Premissas!$C$6)</f>
        <v/>
      </c>
      <c r="K18" s="31" t="str">
        <f aca="false">IF(A18="","",F18*Premissas!$C$7)</f>
        <v/>
      </c>
      <c r="L18" s="37" t="str">
        <f aca="false">IF(A18="","",SUM(H18:K18))</f>
        <v/>
      </c>
      <c r="M18" s="32" t="str">
        <f aca="false">IF(A18="","",IF(G18=0,0,L18/G18))</f>
        <v/>
      </c>
      <c r="N18" s="15" t="str">
        <f aca="false">IF(A18="","",IF(L18=0,0,I18/L18))</f>
        <v/>
      </c>
      <c r="O18" s="33" t="str">
        <f aca="false">IF(A18="","",IF(L17=0,"n/d",L18/L17-1))</f>
        <v/>
      </c>
    </row>
    <row r="19" customFormat="false" ht="14.25" hidden="false" customHeight="true" outlineLevel="0" collapsed="false">
      <c r="A19" s="36" t="str">
        <f aca="false">IF(A18="","",IF(EDATE(A18,1)&gt;MAX(Diário!$A$5:$A$400),"",EDATE(A18,1)))</f>
        <v/>
      </c>
      <c r="B19" s="14" t="str">
        <f aca="false">IF(A19="","",COUNTIFS(Diário!$H$5:$H$400,A19))</f>
        <v/>
      </c>
      <c r="C19" s="14" t="str">
        <f aca="false">IF($A19="","",SUMIFS(Diário!$B$5:$B$400,Diário!$H$5:$H$400,$A19))</f>
        <v/>
      </c>
      <c r="D19" s="14" t="str">
        <f aca="false">IF($A19="","",SUMIFS(Diário!$E$5:$E$400,Diário!$H$5:$H$400,$A19))</f>
        <v/>
      </c>
      <c r="E19" s="14" t="str">
        <f aca="false">IF($A19="","",SUMIFS(Diário!$D$5:$D$400,Diário!$H$5:$H$400,$A19))</f>
        <v/>
      </c>
      <c r="F19" s="14" t="str">
        <f aca="false">IF($A19="","",SUMIFS(Diário!$C$5:$C$400,Diário!$H$5:$H$400,$A19))</f>
        <v/>
      </c>
      <c r="G19" s="14" t="str">
        <f aca="false">IF(A19="","",SUM(C19:F19))</f>
        <v/>
      </c>
      <c r="H19" s="31" t="str">
        <f aca="false">IF(A19="","",C19*Premissas!$C$4)</f>
        <v/>
      </c>
      <c r="I19" s="31" t="str">
        <f aca="false">IF(A19="","",D19*Premissas!$C$5)</f>
        <v/>
      </c>
      <c r="J19" s="31" t="str">
        <f aca="false">IF(A19="","",E19*Premissas!$C$6)</f>
        <v/>
      </c>
      <c r="K19" s="31" t="str">
        <f aca="false">IF(A19="","",F19*Premissas!$C$7)</f>
        <v/>
      </c>
      <c r="L19" s="37" t="str">
        <f aca="false">IF(A19="","",SUM(H19:K19))</f>
        <v/>
      </c>
      <c r="M19" s="32" t="str">
        <f aca="false">IF(A19="","",IF(G19=0,0,L19/G19))</f>
        <v/>
      </c>
      <c r="N19" s="15" t="str">
        <f aca="false">IF(A19="","",IF(L19=0,0,I19/L19))</f>
        <v/>
      </c>
      <c r="O19" s="33" t="str">
        <f aca="false">IF(A19="","",IF(L18=0,"n/d",L19/L18-1))</f>
        <v/>
      </c>
    </row>
    <row r="20" customFormat="false" ht="14.25" hidden="false" customHeight="true" outlineLevel="0" collapsed="false">
      <c r="A20" s="36" t="str">
        <f aca="false">IF(A19="","",IF(EDATE(A19,1)&gt;MAX(Diário!$A$5:$A$400),"",EDATE(A19,1)))</f>
        <v/>
      </c>
      <c r="B20" s="14" t="str">
        <f aca="false">IF(A20="","",COUNTIFS(Diário!$H$5:$H$400,A20))</f>
        <v/>
      </c>
      <c r="C20" s="14" t="str">
        <f aca="false">IF($A20="","",SUMIFS(Diário!$B$5:$B$400,Diário!$H$5:$H$400,$A20))</f>
        <v/>
      </c>
      <c r="D20" s="14" t="str">
        <f aca="false">IF($A20="","",SUMIFS(Diário!$E$5:$E$400,Diário!$H$5:$H$400,$A20))</f>
        <v/>
      </c>
      <c r="E20" s="14" t="str">
        <f aca="false">IF($A20="","",SUMIFS(Diário!$D$5:$D$400,Diário!$H$5:$H$400,$A20))</f>
        <v/>
      </c>
      <c r="F20" s="14" t="str">
        <f aca="false">IF($A20="","",SUMIFS(Diário!$C$5:$C$400,Diário!$H$5:$H$400,$A20))</f>
        <v/>
      </c>
      <c r="G20" s="14" t="str">
        <f aca="false">IF(A20="","",SUM(C20:F20))</f>
        <v/>
      </c>
      <c r="H20" s="31" t="str">
        <f aca="false">IF(A20="","",C20*Premissas!$C$4)</f>
        <v/>
      </c>
      <c r="I20" s="31" t="str">
        <f aca="false">IF(A20="","",D20*Premissas!$C$5)</f>
        <v/>
      </c>
      <c r="J20" s="31" t="str">
        <f aca="false">IF(A20="","",E20*Premissas!$C$6)</f>
        <v/>
      </c>
      <c r="K20" s="31" t="str">
        <f aca="false">IF(A20="","",F20*Premissas!$C$7)</f>
        <v/>
      </c>
      <c r="L20" s="37" t="str">
        <f aca="false">IF(A20="","",SUM(H20:K20))</f>
        <v/>
      </c>
      <c r="M20" s="32" t="str">
        <f aca="false">IF(A20="","",IF(G20=0,0,L20/G20))</f>
        <v/>
      </c>
      <c r="N20" s="15" t="str">
        <f aca="false">IF(A20="","",IF(L20=0,0,I20/L20))</f>
        <v/>
      </c>
      <c r="O20" s="33" t="str">
        <f aca="false">IF(A20="","",IF(L19=0,"n/d",L20/L19-1))</f>
        <v/>
      </c>
    </row>
    <row r="21" customFormat="false" ht="14.25" hidden="false" customHeight="true" outlineLevel="0" collapsed="false">
      <c r="A21" s="36" t="str">
        <f aca="false">IF(A20="","",IF(EDATE(A20,1)&gt;MAX(Diário!$A$5:$A$400),"",EDATE(A20,1)))</f>
        <v/>
      </c>
      <c r="B21" s="14" t="str">
        <f aca="false">IF(A21="","",COUNTIFS(Diário!$H$5:$H$400,A21))</f>
        <v/>
      </c>
      <c r="C21" s="14" t="str">
        <f aca="false">IF($A21="","",SUMIFS(Diário!$B$5:$B$400,Diário!$H$5:$H$400,$A21))</f>
        <v/>
      </c>
      <c r="D21" s="14" t="str">
        <f aca="false">IF($A21="","",SUMIFS(Diário!$E$5:$E$400,Diário!$H$5:$H$400,$A21))</f>
        <v/>
      </c>
      <c r="E21" s="14" t="str">
        <f aca="false">IF($A21="","",SUMIFS(Diário!$D$5:$D$400,Diário!$H$5:$H$400,$A21))</f>
        <v/>
      </c>
      <c r="F21" s="14" t="str">
        <f aca="false">IF($A21="","",SUMIFS(Diário!$C$5:$C$400,Diário!$H$5:$H$400,$A21))</f>
        <v/>
      </c>
      <c r="G21" s="14" t="str">
        <f aca="false">IF(A21="","",SUM(C21:F21))</f>
        <v/>
      </c>
      <c r="H21" s="31" t="str">
        <f aca="false">IF(A21="","",C21*Premissas!$C$4)</f>
        <v/>
      </c>
      <c r="I21" s="31" t="str">
        <f aca="false">IF(A21="","",D21*Premissas!$C$5)</f>
        <v/>
      </c>
      <c r="J21" s="31" t="str">
        <f aca="false">IF(A21="","",E21*Premissas!$C$6)</f>
        <v/>
      </c>
      <c r="K21" s="31" t="str">
        <f aca="false">IF(A21="","",F21*Premissas!$C$7)</f>
        <v/>
      </c>
      <c r="L21" s="37" t="str">
        <f aca="false">IF(A21="","",SUM(H21:K21))</f>
        <v/>
      </c>
      <c r="M21" s="32" t="str">
        <f aca="false">IF(A21="","",IF(G21=0,0,L21/G21))</f>
        <v/>
      </c>
      <c r="N21" s="15" t="str">
        <f aca="false">IF(A21="","",IF(L21=0,0,I21/L21))</f>
        <v/>
      </c>
      <c r="O21" s="33" t="str">
        <f aca="false">IF(A21="","",IF(L20=0,"n/d",L21/L20-1))</f>
        <v/>
      </c>
    </row>
    <row r="22" customFormat="false" ht="14.25" hidden="false" customHeight="true" outlineLevel="0" collapsed="false">
      <c r="A22" s="36" t="str">
        <f aca="false">IF(A21="","",IF(EDATE(A21,1)&gt;MAX(Diário!$A$5:$A$400),"",EDATE(A21,1)))</f>
        <v/>
      </c>
      <c r="B22" s="14" t="str">
        <f aca="false">IF(A22="","",COUNTIFS(Diário!$H$5:$H$400,A22))</f>
        <v/>
      </c>
      <c r="C22" s="14" t="str">
        <f aca="false">IF($A22="","",SUMIFS(Diário!$B$5:$B$400,Diário!$H$5:$H$400,$A22))</f>
        <v/>
      </c>
      <c r="D22" s="14" t="str">
        <f aca="false">IF($A22="","",SUMIFS(Diário!$E$5:$E$400,Diário!$H$5:$H$400,$A22))</f>
        <v/>
      </c>
      <c r="E22" s="14" t="str">
        <f aca="false">IF($A22="","",SUMIFS(Diário!$D$5:$D$400,Diário!$H$5:$H$400,$A22))</f>
        <v/>
      </c>
      <c r="F22" s="14" t="str">
        <f aca="false">IF($A22="","",SUMIFS(Diário!$C$5:$C$400,Diário!$H$5:$H$400,$A22))</f>
        <v/>
      </c>
      <c r="G22" s="14" t="str">
        <f aca="false">IF(A22="","",SUM(C22:F22))</f>
        <v/>
      </c>
      <c r="H22" s="31" t="str">
        <f aca="false">IF(A22="","",C22*Premissas!$C$4)</f>
        <v/>
      </c>
      <c r="I22" s="31" t="str">
        <f aca="false">IF(A22="","",D22*Premissas!$C$5)</f>
        <v/>
      </c>
      <c r="J22" s="31" t="str">
        <f aca="false">IF(A22="","",E22*Premissas!$C$6)</f>
        <v/>
      </c>
      <c r="K22" s="31" t="str">
        <f aca="false">IF(A22="","",F22*Premissas!$C$7)</f>
        <v/>
      </c>
      <c r="L22" s="37" t="str">
        <f aca="false">IF(A22="","",SUM(H22:K22))</f>
        <v/>
      </c>
      <c r="M22" s="32" t="str">
        <f aca="false">IF(A22="","",IF(G22=0,0,L22/G22))</f>
        <v/>
      </c>
      <c r="N22" s="15" t="str">
        <f aca="false">IF(A22="","",IF(L22=0,0,I22/L22))</f>
        <v/>
      </c>
      <c r="O22" s="33" t="str">
        <f aca="false">IF(A22="","",IF(L21=0,"n/d",L22/L21-1))</f>
        <v/>
      </c>
    </row>
    <row r="23" customFormat="false" ht="14.25" hidden="false" customHeight="true" outlineLevel="0" collapsed="false">
      <c r="A23" s="36" t="str">
        <f aca="false">IF(A22="","",IF(EDATE(A22,1)&gt;MAX(Diário!$A$5:$A$400),"",EDATE(A22,1)))</f>
        <v/>
      </c>
      <c r="B23" s="14" t="str">
        <f aca="false">IF(A23="","",COUNTIFS(Diário!$H$5:$H$400,A23))</f>
        <v/>
      </c>
      <c r="C23" s="14" t="str">
        <f aca="false">IF($A23="","",SUMIFS(Diário!$B$5:$B$400,Diário!$H$5:$H$400,$A23))</f>
        <v/>
      </c>
      <c r="D23" s="14" t="str">
        <f aca="false">IF($A23="","",SUMIFS(Diário!$E$5:$E$400,Diário!$H$5:$H$400,$A23))</f>
        <v/>
      </c>
      <c r="E23" s="14" t="str">
        <f aca="false">IF($A23="","",SUMIFS(Diário!$D$5:$D$400,Diário!$H$5:$H$400,$A23))</f>
        <v/>
      </c>
      <c r="F23" s="14" t="str">
        <f aca="false">IF($A23="","",SUMIFS(Diário!$C$5:$C$400,Diário!$H$5:$H$400,$A23))</f>
        <v/>
      </c>
      <c r="G23" s="14" t="str">
        <f aca="false">IF(A23="","",SUM(C23:F23))</f>
        <v/>
      </c>
      <c r="H23" s="31" t="str">
        <f aca="false">IF(A23="","",C23*Premissas!$C$4)</f>
        <v/>
      </c>
      <c r="I23" s="31" t="str">
        <f aca="false">IF(A23="","",D23*Premissas!$C$5)</f>
        <v/>
      </c>
      <c r="J23" s="31" t="str">
        <f aca="false">IF(A23="","",E23*Premissas!$C$6)</f>
        <v/>
      </c>
      <c r="K23" s="31" t="str">
        <f aca="false">IF(A23="","",F23*Premissas!$C$7)</f>
        <v/>
      </c>
      <c r="L23" s="37" t="str">
        <f aca="false">IF(A23="","",SUM(H23:K23))</f>
        <v/>
      </c>
      <c r="M23" s="32" t="str">
        <f aca="false">IF(A23="","",IF(G23=0,0,L23/G23))</f>
        <v/>
      </c>
      <c r="N23" s="15" t="str">
        <f aca="false">IF(A23="","",IF(L23=0,0,I23/L23))</f>
        <v/>
      </c>
      <c r="O23" s="33" t="str">
        <f aca="false">IF(A23="","",IF(L22=0,"n/d",L23/L22-1))</f>
        <v/>
      </c>
    </row>
    <row r="24" customFormat="false" ht="14.25" hidden="false" customHeight="true" outlineLevel="0" collapsed="false">
      <c r="A24" s="36" t="str">
        <f aca="false">IF(A23="","",IF(EDATE(A23,1)&gt;MAX(Diário!$A$5:$A$400),"",EDATE(A23,1)))</f>
        <v/>
      </c>
      <c r="B24" s="14" t="str">
        <f aca="false">IF(A24="","",COUNTIFS(Diário!$H$5:$H$400,A24))</f>
        <v/>
      </c>
      <c r="C24" s="14" t="str">
        <f aca="false">IF($A24="","",SUMIFS(Diário!$B$5:$B$400,Diário!$H$5:$H$400,$A24))</f>
        <v/>
      </c>
      <c r="D24" s="14" t="str">
        <f aca="false">IF($A24="","",SUMIFS(Diário!$E$5:$E$400,Diário!$H$5:$H$400,$A24))</f>
        <v/>
      </c>
      <c r="E24" s="14" t="str">
        <f aca="false">IF($A24="","",SUMIFS(Diário!$D$5:$D$400,Diário!$H$5:$H$400,$A24))</f>
        <v/>
      </c>
      <c r="F24" s="14" t="str">
        <f aca="false">IF($A24="","",SUMIFS(Diário!$C$5:$C$400,Diário!$H$5:$H$400,$A24))</f>
        <v/>
      </c>
      <c r="G24" s="14" t="str">
        <f aca="false">IF(A24="","",SUM(C24:F24))</f>
        <v/>
      </c>
      <c r="H24" s="31" t="str">
        <f aca="false">IF(A24="","",C24*Premissas!$C$4)</f>
        <v/>
      </c>
      <c r="I24" s="31" t="str">
        <f aca="false">IF(A24="","",D24*Premissas!$C$5)</f>
        <v/>
      </c>
      <c r="J24" s="31" t="str">
        <f aca="false">IF(A24="","",E24*Premissas!$C$6)</f>
        <v/>
      </c>
      <c r="K24" s="31" t="str">
        <f aca="false">IF(A24="","",F24*Premissas!$C$7)</f>
        <v/>
      </c>
      <c r="L24" s="37" t="str">
        <f aca="false">IF(A24="","",SUM(H24:K24))</f>
        <v/>
      </c>
      <c r="M24" s="32" t="str">
        <f aca="false">IF(A24="","",IF(G24=0,0,L24/G24))</f>
        <v/>
      </c>
      <c r="N24" s="15" t="str">
        <f aca="false">IF(A24="","",IF(L24=0,0,I24/L24))</f>
        <v/>
      </c>
      <c r="O24" s="33" t="str">
        <f aca="false">IF(A24="","",IF(L23=0,"n/d",L24/L23-1))</f>
        <v/>
      </c>
    </row>
    <row r="25" customFormat="false" ht="14.25" hidden="false" customHeight="true" outlineLevel="0" collapsed="false">
      <c r="A25" s="36" t="str">
        <f aca="false">IF(A24="","",IF(EDATE(A24,1)&gt;MAX(Diário!$A$5:$A$400),"",EDATE(A24,1)))</f>
        <v/>
      </c>
      <c r="B25" s="14" t="str">
        <f aca="false">IF(A25="","",COUNTIFS(Diário!$H$5:$H$400,A25))</f>
        <v/>
      </c>
      <c r="C25" s="14" t="str">
        <f aca="false">IF($A25="","",SUMIFS(Diário!$B$5:$B$400,Diário!$H$5:$H$400,$A25))</f>
        <v/>
      </c>
      <c r="D25" s="14" t="str">
        <f aca="false">IF($A25="","",SUMIFS(Diário!$E$5:$E$400,Diário!$H$5:$H$400,$A25))</f>
        <v/>
      </c>
      <c r="E25" s="14" t="str">
        <f aca="false">IF($A25="","",SUMIFS(Diário!$D$5:$D$400,Diário!$H$5:$H$400,$A25))</f>
        <v/>
      </c>
      <c r="F25" s="14" t="str">
        <f aca="false">IF($A25="","",SUMIFS(Diário!$C$5:$C$400,Diário!$H$5:$H$400,$A25))</f>
        <v/>
      </c>
      <c r="G25" s="14" t="str">
        <f aca="false">IF(A25="","",SUM(C25:F25))</f>
        <v/>
      </c>
      <c r="H25" s="31" t="str">
        <f aca="false">IF(A25="","",C25*Premissas!$C$4)</f>
        <v/>
      </c>
      <c r="I25" s="31" t="str">
        <f aca="false">IF(A25="","",D25*Premissas!$C$5)</f>
        <v/>
      </c>
      <c r="J25" s="31" t="str">
        <f aca="false">IF(A25="","",E25*Premissas!$C$6)</f>
        <v/>
      </c>
      <c r="K25" s="31" t="str">
        <f aca="false">IF(A25="","",F25*Premissas!$C$7)</f>
        <v/>
      </c>
      <c r="L25" s="37" t="str">
        <f aca="false">IF(A25="","",SUM(H25:K25))</f>
        <v/>
      </c>
      <c r="M25" s="32" t="str">
        <f aca="false">IF(A25="","",IF(G25=0,0,L25/G25))</f>
        <v/>
      </c>
      <c r="N25" s="15" t="str">
        <f aca="false">IF(A25="","",IF(L25=0,0,I25/L25))</f>
        <v/>
      </c>
      <c r="O25" s="33" t="str">
        <f aca="false">IF(A25="","",IF(L24=0,"n/d",L25/L24-1))</f>
        <v/>
      </c>
    </row>
    <row r="26" customFormat="false" ht="14.25" hidden="false" customHeight="true" outlineLevel="0" collapsed="false">
      <c r="A26" s="36" t="str">
        <f aca="false">IF(A25="","",IF(EDATE(A25,1)&gt;MAX(Diário!$A$5:$A$400),"",EDATE(A25,1)))</f>
        <v/>
      </c>
      <c r="B26" s="14" t="str">
        <f aca="false">IF(A26="","",COUNTIFS(Diário!$H$5:$H$400,A26))</f>
        <v/>
      </c>
      <c r="C26" s="14" t="str">
        <f aca="false">IF($A26="","",SUMIFS(Diário!$B$5:$B$400,Diário!$H$5:$H$400,$A26))</f>
        <v/>
      </c>
      <c r="D26" s="14" t="str">
        <f aca="false">IF($A26="","",SUMIFS(Diário!$E$5:$E$400,Diário!$H$5:$H$400,$A26))</f>
        <v/>
      </c>
      <c r="E26" s="14" t="str">
        <f aca="false">IF($A26="","",SUMIFS(Diário!$D$5:$D$400,Diário!$H$5:$H$400,$A26))</f>
        <v/>
      </c>
      <c r="F26" s="14" t="str">
        <f aca="false">IF($A26="","",SUMIFS(Diário!$C$5:$C$400,Diário!$H$5:$H$400,$A26))</f>
        <v/>
      </c>
      <c r="G26" s="14" t="str">
        <f aca="false">IF(A26="","",SUM(C26:F26))</f>
        <v/>
      </c>
      <c r="H26" s="31" t="str">
        <f aca="false">IF(A26="","",C26*Premissas!$C$4)</f>
        <v/>
      </c>
      <c r="I26" s="31" t="str">
        <f aca="false">IF(A26="","",D26*Premissas!$C$5)</f>
        <v/>
      </c>
      <c r="J26" s="31" t="str">
        <f aca="false">IF(A26="","",E26*Premissas!$C$6)</f>
        <v/>
      </c>
      <c r="K26" s="31" t="str">
        <f aca="false">IF(A26="","",F26*Premissas!$C$7)</f>
        <v/>
      </c>
      <c r="L26" s="37" t="str">
        <f aca="false">IF(A26="","",SUM(H26:K26))</f>
        <v/>
      </c>
      <c r="M26" s="32" t="str">
        <f aca="false">IF(A26="","",IF(G26=0,0,L26/G26))</f>
        <v/>
      </c>
      <c r="N26" s="15" t="str">
        <f aca="false">IF(A26="","",IF(L26=0,0,I26/L26))</f>
        <v/>
      </c>
      <c r="O26" s="33" t="str">
        <f aca="false">IF(A26="","",IF(L25=0,"n/d",L26/L25-1))</f>
        <v/>
      </c>
    </row>
    <row r="27" customFormat="false" ht="14.25" hidden="false" customHeight="true" outlineLevel="0" collapsed="false">
      <c r="A27" s="36" t="str">
        <f aca="false">IF(A26="","",IF(EDATE(A26,1)&gt;MAX(Diário!$A$5:$A$400),"",EDATE(A26,1)))</f>
        <v/>
      </c>
      <c r="B27" s="14" t="str">
        <f aca="false">IF(A27="","",COUNTIFS(Diário!$H$5:$H$400,A27))</f>
        <v/>
      </c>
      <c r="C27" s="14" t="str">
        <f aca="false">IF($A27="","",SUMIFS(Diário!$B$5:$B$400,Diário!$H$5:$H$400,$A27))</f>
        <v/>
      </c>
      <c r="D27" s="14" t="str">
        <f aca="false">IF($A27="","",SUMIFS(Diário!$E$5:$E$400,Diário!$H$5:$H$400,$A27))</f>
        <v/>
      </c>
      <c r="E27" s="14" t="str">
        <f aca="false">IF($A27="","",SUMIFS(Diário!$D$5:$D$400,Diário!$H$5:$H$400,$A27))</f>
        <v/>
      </c>
      <c r="F27" s="14" t="str">
        <f aca="false">IF($A27="","",SUMIFS(Diário!$C$5:$C$400,Diário!$H$5:$H$400,$A27))</f>
        <v/>
      </c>
      <c r="G27" s="14" t="str">
        <f aca="false">IF(A27="","",SUM(C27:F27))</f>
        <v/>
      </c>
      <c r="H27" s="31" t="str">
        <f aca="false">IF(A27="","",C27*Premissas!$C$4)</f>
        <v/>
      </c>
      <c r="I27" s="31" t="str">
        <f aca="false">IF(A27="","",D27*Premissas!$C$5)</f>
        <v/>
      </c>
      <c r="J27" s="31" t="str">
        <f aca="false">IF(A27="","",E27*Premissas!$C$6)</f>
        <v/>
      </c>
      <c r="K27" s="31" t="str">
        <f aca="false">IF(A27="","",F27*Premissas!$C$7)</f>
        <v/>
      </c>
      <c r="L27" s="37" t="str">
        <f aca="false">IF(A27="","",SUM(H27:K27))</f>
        <v/>
      </c>
      <c r="M27" s="32" t="str">
        <f aca="false">IF(A27="","",IF(G27=0,0,L27/G27))</f>
        <v/>
      </c>
      <c r="N27" s="15" t="str">
        <f aca="false">IF(A27="","",IF(L27=0,0,I27/L27))</f>
        <v/>
      </c>
      <c r="O27" s="33" t="str">
        <f aca="false">IF(A27="","",IF(L26=0,"n/d",L27/L26-1))</f>
        <v/>
      </c>
    </row>
    <row r="28" customFormat="false" ht="14.25" hidden="false" customHeight="true" outlineLevel="0" collapsed="false">
      <c r="A28" s="36" t="str">
        <f aca="false">IF(A27="","",IF(EDATE(A27,1)&gt;MAX(Diário!$A$5:$A$400),"",EDATE(A27,1)))</f>
        <v/>
      </c>
      <c r="B28" s="14" t="str">
        <f aca="false">IF(A28="","",COUNTIFS(Diário!$H$5:$H$400,A28))</f>
        <v/>
      </c>
      <c r="C28" s="14" t="str">
        <f aca="false">IF($A28="","",SUMIFS(Diário!$B$5:$B$400,Diário!$H$5:$H$400,$A28))</f>
        <v/>
      </c>
      <c r="D28" s="14" t="str">
        <f aca="false">IF($A28="","",SUMIFS(Diário!$E$5:$E$400,Diário!$H$5:$H$400,$A28))</f>
        <v/>
      </c>
      <c r="E28" s="14" t="str">
        <f aca="false">IF($A28="","",SUMIFS(Diário!$D$5:$D$400,Diário!$H$5:$H$400,$A28))</f>
        <v/>
      </c>
      <c r="F28" s="14" t="str">
        <f aca="false">IF($A28="","",SUMIFS(Diário!$C$5:$C$400,Diário!$H$5:$H$400,$A28))</f>
        <v/>
      </c>
      <c r="G28" s="14" t="str">
        <f aca="false">IF(A28="","",SUM(C28:F28))</f>
        <v/>
      </c>
      <c r="H28" s="31" t="str">
        <f aca="false">IF(A28="","",C28*Premissas!$C$4)</f>
        <v/>
      </c>
      <c r="I28" s="31" t="str">
        <f aca="false">IF(A28="","",D28*Premissas!$C$5)</f>
        <v/>
      </c>
      <c r="J28" s="31" t="str">
        <f aca="false">IF(A28="","",E28*Premissas!$C$6)</f>
        <v/>
      </c>
      <c r="K28" s="31" t="str">
        <f aca="false">IF(A28="","",F28*Premissas!$C$7)</f>
        <v/>
      </c>
      <c r="L28" s="37" t="str">
        <f aca="false">IF(A28="","",SUM(H28:K28))</f>
        <v/>
      </c>
      <c r="M28" s="32" t="str">
        <f aca="false">IF(A28="","",IF(G28=0,0,L28/G28))</f>
        <v/>
      </c>
      <c r="N28" s="15" t="str">
        <f aca="false">IF(A28="","",IF(L28=0,0,I28/L28))</f>
        <v/>
      </c>
      <c r="O28" s="33" t="str">
        <f aca="false">IF(A28="","",IF(L27=0,"n/d",L28/L27-1))</f>
        <v/>
      </c>
    </row>
    <row r="29" customFormat="false" ht="14.25" hidden="false" customHeight="true" outlineLevel="0" collapsed="false">
      <c r="A29" s="36" t="str">
        <f aca="false">IF(A28="","",IF(EDATE(A28,1)&gt;MAX(Diário!$A$5:$A$400),"",EDATE(A28,1)))</f>
        <v/>
      </c>
      <c r="B29" s="14" t="str">
        <f aca="false">IF(A29="","",COUNTIFS(Diário!$H$5:$H$400,A29))</f>
        <v/>
      </c>
      <c r="C29" s="14" t="str">
        <f aca="false">IF($A29="","",SUMIFS(Diário!$B$5:$B$400,Diário!$H$5:$H$400,$A29))</f>
        <v/>
      </c>
      <c r="D29" s="14" t="str">
        <f aca="false">IF($A29="","",SUMIFS(Diário!$E$5:$E$400,Diário!$H$5:$H$400,$A29))</f>
        <v/>
      </c>
      <c r="E29" s="14" t="str">
        <f aca="false">IF($A29="","",SUMIFS(Diário!$D$5:$D$400,Diário!$H$5:$H$400,$A29))</f>
        <v/>
      </c>
      <c r="F29" s="14" t="str">
        <f aca="false">IF($A29="","",SUMIFS(Diário!$C$5:$C$400,Diário!$H$5:$H$400,$A29))</f>
        <v/>
      </c>
      <c r="G29" s="14" t="str">
        <f aca="false">IF(A29="","",SUM(C29:F29))</f>
        <v/>
      </c>
      <c r="H29" s="31" t="str">
        <f aca="false">IF(A29="","",C29*Premissas!$C$4)</f>
        <v/>
      </c>
      <c r="I29" s="31" t="str">
        <f aca="false">IF(A29="","",D29*Premissas!$C$5)</f>
        <v/>
      </c>
      <c r="J29" s="31" t="str">
        <f aca="false">IF(A29="","",E29*Premissas!$C$6)</f>
        <v/>
      </c>
      <c r="K29" s="31" t="str">
        <f aca="false">IF(A29="","",F29*Premissas!$C$7)</f>
        <v/>
      </c>
      <c r="L29" s="37" t="str">
        <f aca="false">IF(A29="","",SUM(H29:K29))</f>
        <v/>
      </c>
      <c r="M29" s="32" t="str">
        <f aca="false">IF(A29="","",IF(G29=0,0,L29/G29))</f>
        <v/>
      </c>
      <c r="N29" s="15" t="str">
        <f aca="false">IF(A29="","",IF(L29=0,0,I29/L29))</f>
        <v/>
      </c>
      <c r="O29" s="33" t="str">
        <f aca="false">IF(A29="","",IF(L28=0,"n/d",L29/L28-1))</f>
        <v/>
      </c>
    </row>
    <row r="30" customFormat="false" ht="14.25" hidden="false" customHeight="true" outlineLevel="0" collapsed="false">
      <c r="A30" s="36" t="str">
        <f aca="false">IF(A29="","",IF(EDATE(A29,1)&gt;MAX(Diário!$A$5:$A$400),"",EDATE(A29,1)))</f>
        <v/>
      </c>
      <c r="B30" s="14" t="str">
        <f aca="false">IF(A30="","",COUNTIFS(Diário!$H$5:$H$400,A30))</f>
        <v/>
      </c>
      <c r="C30" s="14" t="str">
        <f aca="false">IF($A30="","",SUMIFS(Diário!$B$5:$B$400,Diário!$H$5:$H$400,$A30))</f>
        <v/>
      </c>
      <c r="D30" s="14" t="str">
        <f aca="false">IF($A30="","",SUMIFS(Diário!$E$5:$E$400,Diário!$H$5:$H$400,$A30))</f>
        <v/>
      </c>
      <c r="E30" s="14" t="str">
        <f aca="false">IF($A30="","",SUMIFS(Diário!$D$5:$D$400,Diário!$H$5:$H$400,$A30))</f>
        <v/>
      </c>
      <c r="F30" s="14" t="str">
        <f aca="false">IF($A30="","",SUMIFS(Diário!$C$5:$C$400,Diário!$H$5:$H$400,$A30))</f>
        <v/>
      </c>
      <c r="G30" s="14" t="str">
        <f aca="false">IF(A30="","",SUM(C30:F30))</f>
        <v/>
      </c>
      <c r="H30" s="31" t="str">
        <f aca="false">IF(A30="","",C30*Premissas!$C$4)</f>
        <v/>
      </c>
      <c r="I30" s="31" t="str">
        <f aca="false">IF(A30="","",D30*Premissas!$C$5)</f>
        <v/>
      </c>
      <c r="J30" s="31" t="str">
        <f aca="false">IF(A30="","",E30*Premissas!$C$6)</f>
        <v/>
      </c>
      <c r="K30" s="31" t="str">
        <f aca="false">IF(A30="","",F30*Premissas!$C$7)</f>
        <v/>
      </c>
      <c r="L30" s="37" t="str">
        <f aca="false">IF(A30="","",SUM(H30:K30))</f>
        <v/>
      </c>
      <c r="M30" s="32" t="str">
        <f aca="false">IF(A30="","",IF(G30=0,0,L30/G30))</f>
        <v/>
      </c>
      <c r="N30" s="15" t="str">
        <f aca="false">IF(A30="","",IF(L30=0,0,I30/L30))</f>
        <v/>
      </c>
      <c r="O30" s="33" t="str">
        <f aca="false">IF(A30="","",IF(L29=0,"n/d",L30/L29-1))</f>
        <v/>
      </c>
    </row>
    <row r="31" customFormat="false" ht="14.25" hidden="false" customHeight="true" outlineLevel="0" collapsed="false">
      <c r="A31" s="36" t="str">
        <f aca="false">IF(A30="","",IF(EDATE(A30,1)&gt;MAX(Diário!$A$5:$A$400),"",EDATE(A30,1)))</f>
        <v/>
      </c>
      <c r="B31" s="14" t="str">
        <f aca="false">IF(A31="","",COUNTIFS(Diário!$H$5:$H$400,A31))</f>
        <v/>
      </c>
      <c r="C31" s="14" t="str">
        <f aca="false">IF($A31="","",SUMIFS(Diário!$B$5:$B$400,Diário!$H$5:$H$400,$A31))</f>
        <v/>
      </c>
      <c r="D31" s="14" t="str">
        <f aca="false">IF($A31="","",SUMIFS(Diário!$E$5:$E$400,Diário!$H$5:$H$400,$A31))</f>
        <v/>
      </c>
      <c r="E31" s="14" t="str">
        <f aca="false">IF($A31="","",SUMIFS(Diário!$D$5:$D$400,Diário!$H$5:$H$400,$A31))</f>
        <v/>
      </c>
      <c r="F31" s="14" t="str">
        <f aca="false">IF($A31="","",SUMIFS(Diário!$C$5:$C$400,Diário!$H$5:$H$400,$A31))</f>
        <v/>
      </c>
      <c r="G31" s="14" t="str">
        <f aca="false">IF(A31="","",SUM(C31:F31))</f>
        <v/>
      </c>
      <c r="H31" s="31" t="str">
        <f aca="false">IF(A31="","",C31*Premissas!$C$4)</f>
        <v/>
      </c>
      <c r="I31" s="31" t="str">
        <f aca="false">IF(A31="","",D31*Premissas!$C$5)</f>
        <v/>
      </c>
      <c r="J31" s="31" t="str">
        <f aca="false">IF(A31="","",E31*Premissas!$C$6)</f>
        <v/>
      </c>
      <c r="K31" s="31" t="str">
        <f aca="false">IF(A31="","",F31*Premissas!$C$7)</f>
        <v/>
      </c>
      <c r="L31" s="37" t="str">
        <f aca="false">IF(A31="","",SUM(H31:K31))</f>
        <v/>
      </c>
      <c r="M31" s="32" t="str">
        <f aca="false">IF(A31="","",IF(G31=0,0,L31/G31))</f>
        <v/>
      </c>
      <c r="N31" s="15" t="str">
        <f aca="false">IF(A31="","",IF(L31=0,0,I31/L31))</f>
        <v/>
      </c>
      <c r="O31" s="33" t="str">
        <f aca="false">IF(A31="","",IF(L30=0,"n/d",L31/L30-1))</f>
        <v/>
      </c>
    </row>
    <row r="32" customFormat="false" ht="14.25" hidden="false" customHeight="true" outlineLevel="0" collapsed="false">
      <c r="A32" s="36" t="str">
        <f aca="false">IF(A31="","",IF(EDATE(A31,1)&gt;MAX(Diário!$A$5:$A$400),"",EDATE(A31,1)))</f>
        <v/>
      </c>
      <c r="B32" s="14" t="str">
        <f aca="false">IF(A32="","",COUNTIFS(Diário!$H$5:$H$400,A32))</f>
        <v/>
      </c>
      <c r="C32" s="14" t="str">
        <f aca="false">IF($A32="","",SUMIFS(Diário!$B$5:$B$400,Diário!$H$5:$H$400,$A32))</f>
        <v/>
      </c>
      <c r="D32" s="14" t="str">
        <f aca="false">IF($A32="","",SUMIFS(Diário!$E$5:$E$400,Diário!$H$5:$H$400,$A32))</f>
        <v/>
      </c>
      <c r="E32" s="14" t="str">
        <f aca="false">IF($A32="","",SUMIFS(Diário!$D$5:$D$400,Diário!$H$5:$H$400,$A32))</f>
        <v/>
      </c>
      <c r="F32" s="14" t="str">
        <f aca="false">IF($A32="","",SUMIFS(Diário!$C$5:$C$400,Diário!$H$5:$H$400,$A32))</f>
        <v/>
      </c>
      <c r="G32" s="14" t="str">
        <f aca="false">IF(A32="","",SUM(C32:F32))</f>
        <v/>
      </c>
      <c r="H32" s="31" t="str">
        <f aca="false">IF(A32="","",C32*Premissas!$C$4)</f>
        <v/>
      </c>
      <c r="I32" s="31" t="str">
        <f aca="false">IF(A32="","",D32*Premissas!$C$5)</f>
        <v/>
      </c>
      <c r="J32" s="31" t="str">
        <f aca="false">IF(A32="","",E32*Premissas!$C$6)</f>
        <v/>
      </c>
      <c r="K32" s="31" t="str">
        <f aca="false">IF(A32="","",F32*Premissas!$C$7)</f>
        <v/>
      </c>
      <c r="L32" s="37" t="str">
        <f aca="false">IF(A32="","",SUM(H32:K32))</f>
        <v/>
      </c>
      <c r="M32" s="32" t="str">
        <f aca="false">IF(A32="","",IF(G32=0,0,L32/G32))</f>
        <v/>
      </c>
      <c r="N32" s="15" t="str">
        <f aca="false">IF(A32="","",IF(L32=0,0,I32/L32))</f>
        <v/>
      </c>
      <c r="O32" s="33" t="str">
        <f aca="false">IF(A32="","",IF(L31=0,"n/d",L32/L31-1))</f>
        <v/>
      </c>
    </row>
    <row r="33" customFormat="false" ht="14.25" hidden="false" customHeight="true" outlineLevel="0" collapsed="false">
      <c r="A33" s="36" t="str">
        <f aca="false">IF(A32="","",IF(EDATE(A32,1)&gt;MAX(Diário!$A$5:$A$400),"",EDATE(A32,1)))</f>
        <v/>
      </c>
      <c r="B33" s="14" t="str">
        <f aca="false">IF(A33="","",COUNTIFS(Diário!$H$5:$H$400,A33))</f>
        <v/>
      </c>
      <c r="C33" s="14" t="str">
        <f aca="false">IF($A33="","",SUMIFS(Diário!$B$5:$B$400,Diário!$H$5:$H$400,$A33))</f>
        <v/>
      </c>
      <c r="D33" s="14" t="str">
        <f aca="false">IF($A33="","",SUMIFS(Diário!$E$5:$E$400,Diário!$H$5:$H$400,$A33))</f>
        <v/>
      </c>
      <c r="E33" s="14" t="str">
        <f aca="false">IF($A33="","",SUMIFS(Diário!$D$5:$D$400,Diário!$H$5:$H$400,$A33))</f>
        <v/>
      </c>
      <c r="F33" s="14" t="str">
        <f aca="false">IF($A33="","",SUMIFS(Diário!$C$5:$C$400,Diário!$H$5:$H$400,$A33))</f>
        <v/>
      </c>
      <c r="G33" s="14" t="str">
        <f aca="false">IF(A33="","",SUM(C33:F33))</f>
        <v/>
      </c>
      <c r="H33" s="31" t="str">
        <f aca="false">IF(A33="","",C33*Premissas!$C$4)</f>
        <v/>
      </c>
      <c r="I33" s="31" t="str">
        <f aca="false">IF(A33="","",D33*Premissas!$C$5)</f>
        <v/>
      </c>
      <c r="J33" s="31" t="str">
        <f aca="false">IF(A33="","",E33*Premissas!$C$6)</f>
        <v/>
      </c>
      <c r="K33" s="31" t="str">
        <f aca="false">IF(A33="","",F33*Premissas!$C$7)</f>
        <v/>
      </c>
      <c r="L33" s="37" t="str">
        <f aca="false">IF(A33="","",SUM(H33:K33))</f>
        <v/>
      </c>
      <c r="M33" s="32" t="str">
        <f aca="false">IF(A33="","",IF(G33=0,0,L33/G33))</f>
        <v/>
      </c>
      <c r="N33" s="15" t="str">
        <f aca="false">IF(A33="","",IF(L33=0,0,I33/L33))</f>
        <v/>
      </c>
      <c r="O33" s="33" t="str">
        <f aca="false">IF(A33="","",IF(L32=0,"n/d",L33/L32-1))</f>
        <v/>
      </c>
    </row>
    <row r="34" customFormat="false" ht="14.25" hidden="false" customHeight="true" outlineLevel="0" collapsed="false">
      <c r="A34" s="36" t="str">
        <f aca="false">IF(A33="","",IF(EDATE(A33,1)&gt;MAX(Diário!$A$5:$A$400),"",EDATE(A33,1)))</f>
        <v/>
      </c>
      <c r="B34" s="14" t="str">
        <f aca="false">IF(A34="","",COUNTIFS(Diário!$H$5:$H$400,A34))</f>
        <v/>
      </c>
      <c r="C34" s="14" t="str">
        <f aca="false">IF($A34="","",SUMIFS(Diário!$B$5:$B$400,Diário!$H$5:$H$400,$A34))</f>
        <v/>
      </c>
      <c r="D34" s="14" t="str">
        <f aca="false">IF($A34="","",SUMIFS(Diário!$E$5:$E$400,Diário!$H$5:$H$400,$A34))</f>
        <v/>
      </c>
      <c r="E34" s="14" t="str">
        <f aca="false">IF($A34="","",SUMIFS(Diário!$D$5:$D$400,Diário!$H$5:$H$400,$A34))</f>
        <v/>
      </c>
      <c r="F34" s="14" t="str">
        <f aca="false">IF($A34="","",SUMIFS(Diário!$C$5:$C$400,Diário!$H$5:$H$400,$A34))</f>
        <v/>
      </c>
      <c r="G34" s="14" t="str">
        <f aca="false">IF(A34="","",SUM(C34:F34))</f>
        <v/>
      </c>
      <c r="H34" s="31" t="str">
        <f aca="false">IF(A34="","",C34*Premissas!$C$4)</f>
        <v/>
      </c>
      <c r="I34" s="31" t="str">
        <f aca="false">IF(A34="","",D34*Premissas!$C$5)</f>
        <v/>
      </c>
      <c r="J34" s="31" t="str">
        <f aca="false">IF(A34="","",E34*Premissas!$C$6)</f>
        <v/>
      </c>
      <c r="K34" s="31" t="str">
        <f aca="false">IF(A34="","",F34*Premissas!$C$7)</f>
        <v/>
      </c>
      <c r="L34" s="37" t="str">
        <f aca="false">IF(A34="","",SUM(H34:K34))</f>
        <v/>
      </c>
      <c r="M34" s="32" t="str">
        <f aca="false">IF(A34="","",IF(G34=0,0,L34/G34))</f>
        <v/>
      </c>
      <c r="N34" s="15" t="str">
        <f aca="false">IF(A34="","",IF(L34=0,0,I34/L34))</f>
        <v/>
      </c>
      <c r="O34" s="33" t="str">
        <f aca="false">IF(A34="","",IF(L33=0,"n/d",L34/L33-1))</f>
        <v/>
      </c>
    </row>
    <row r="35" customFormat="false" ht="14.25" hidden="false" customHeight="true" outlineLevel="0" collapsed="false">
      <c r="A35" s="36" t="str">
        <f aca="false">IF(A34="","",IF(EDATE(A34,1)&gt;MAX(Diário!$A$5:$A$400),"",EDATE(A34,1)))</f>
        <v/>
      </c>
      <c r="B35" s="14" t="str">
        <f aca="false">IF(A35="","",COUNTIFS(Diário!$H$5:$H$400,A35))</f>
        <v/>
      </c>
      <c r="C35" s="14" t="str">
        <f aca="false">IF($A35="","",SUMIFS(Diário!$B$5:$B$400,Diário!$H$5:$H$400,$A35))</f>
        <v/>
      </c>
      <c r="D35" s="14" t="str">
        <f aca="false">IF($A35="","",SUMIFS(Diário!$E$5:$E$400,Diário!$H$5:$H$400,$A35))</f>
        <v/>
      </c>
      <c r="E35" s="14" t="str">
        <f aca="false">IF($A35="","",SUMIFS(Diário!$D$5:$D$400,Diário!$H$5:$H$400,$A35))</f>
        <v/>
      </c>
      <c r="F35" s="14" t="str">
        <f aca="false">IF($A35="","",SUMIFS(Diário!$C$5:$C$400,Diário!$H$5:$H$400,$A35))</f>
        <v/>
      </c>
      <c r="G35" s="14" t="str">
        <f aca="false">IF(A35="","",SUM(C35:F35))</f>
        <v/>
      </c>
      <c r="H35" s="31" t="str">
        <f aca="false">IF(A35="","",C35*Premissas!$C$4)</f>
        <v/>
      </c>
      <c r="I35" s="31" t="str">
        <f aca="false">IF(A35="","",D35*Premissas!$C$5)</f>
        <v/>
      </c>
      <c r="J35" s="31" t="str">
        <f aca="false">IF(A35="","",E35*Premissas!$C$6)</f>
        <v/>
      </c>
      <c r="K35" s="31" t="str">
        <f aca="false">IF(A35="","",F35*Premissas!$C$7)</f>
        <v/>
      </c>
      <c r="L35" s="37" t="str">
        <f aca="false">IF(A35="","",SUM(H35:K35))</f>
        <v/>
      </c>
      <c r="M35" s="32" t="str">
        <f aca="false">IF(A35="","",IF(G35=0,0,L35/G35))</f>
        <v/>
      </c>
      <c r="N35" s="15" t="str">
        <f aca="false">IF(A35="","",IF(L35=0,0,I35/L35))</f>
        <v/>
      </c>
      <c r="O35" s="33" t="str">
        <f aca="false">IF(A35="","",IF(L34=0,"n/d",L35/L34-1))</f>
        <v/>
      </c>
    </row>
    <row r="36" customFormat="false" ht="14.25" hidden="false" customHeight="true" outlineLevel="0" collapsed="false">
      <c r="A36" s="36" t="str">
        <f aca="false">IF(A35="","",IF(EDATE(A35,1)&gt;MAX(Diário!$A$5:$A$400),"",EDATE(A35,1)))</f>
        <v/>
      </c>
      <c r="B36" s="14" t="str">
        <f aca="false">IF(A36="","",COUNTIFS(Diário!$H$5:$H$400,A36))</f>
        <v/>
      </c>
      <c r="C36" s="14" t="str">
        <f aca="false">IF($A36="","",SUMIFS(Diário!$B$5:$B$400,Diário!$H$5:$H$400,$A36))</f>
        <v/>
      </c>
      <c r="D36" s="14" t="str">
        <f aca="false">IF($A36="","",SUMIFS(Diário!$E$5:$E$400,Diário!$H$5:$H$400,$A36))</f>
        <v/>
      </c>
      <c r="E36" s="14" t="str">
        <f aca="false">IF($A36="","",SUMIFS(Diário!$D$5:$D$400,Diário!$H$5:$H$400,$A36))</f>
        <v/>
      </c>
      <c r="F36" s="14" t="str">
        <f aca="false">IF($A36="","",SUMIFS(Diário!$C$5:$C$400,Diário!$H$5:$H$400,$A36))</f>
        <v/>
      </c>
      <c r="G36" s="14" t="str">
        <f aca="false">IF(A36="","",SUM(C36:F36))</f>
        <v/>
      </c>
      <c r="H36" s="31" t="str">
        <f aca="false">IF(A36="","",C36*Premissas!$C$4)</f>
        <v/>
      </c>
      <c r="I36" s="31" t="str">
        <f aca="false">IF(A36="","",D36*Premissas!$C$5)</f>
        <v/>
      </c>
      <c r="J36" s="31" t="str">
        <f aca="false">IF(A36="","",E36*Premissas!$C$6)</f>
        <v/>
      </c>
      <c r="K36" s="31" t="str">
        <f aca="false">IF(A36="","",F36*Premissas!$C$7)</f>
        <v/>
      </c>
      <c r="L36" s="37" t="str">
        <f aca="false">IF(A36="","",SUM(H36:K36))</f>
        <v/>
      </c>
      <c r="M36" s="32" t="str">
        <f aca="false">IF(A36="","",IF(G36=0,0,L36/G36))</f>
        <v/>
      </c>
      <c r="N36" s="15" t="str">
        <f aca="false">IF(A36="","",IF(L36=0,0,I36/L36))</f>
        <v/>
      </c>
      <c r="O36" s="33" t="str">
        <f aca="false">IF(A36="","",IF(L35=0,"n/d",L36/L35-1))</f>
        <v/>
      </c>
    </row>
    <row r="37" customFormat="false" ht="14.25" hidden="false" customHeight="true" outlineLevel="0" collapsed="false">
      <c r="A37" s="36" t="str">
        <f aca="false">IF(A36="","",IF(EDATE(A36,1)&gt;MAX(Diário!$A$5:$A$400),"",EDATE(A36,1)))</f>
        <v/>
      </c>
      <c r="B37" s="14" t="str">
        <f aca="false">IF(A37="","",COUNTIFS(Diário!$H$5:$H$400,A37))</f>
        <v/>
      </c>
      <c r="C37" s="14" t="str">
        <f aca="false">IF($A37="","",SUMIFS(Diário!$B$5:$B$400,Diário!$H$5:$H$400,$A37))</f>
        <v/>
      </c>
      <c r="D37" s="14" t="str">
        <f aca="false">IF($A37="","",SUMIFS(Diário!$E$5:$E$400,Diário!$H$5:$H$400,$A37))</f>
        <v/>
      </c>
      <c r="E37" s="14" t="str">
        <f aca="false">IF($A37="","",SUMIFS(Diário!$D$5:$D$400,Diário!$H$5:$H$400,$A37))</f>
        <v/>
      </c>
      <c r="F37" s="14" t="str">
        <f aca="false">IF($A37="","",SUMIFS(Diário!$C$5:$C$400,Diário!$H$5:$H$400,$A37))</f>
        <v/>
      </c>
      <c r="G37" s="14" t="str">
        <f aca="false">IF(A37="","",SUM(C37:F37))</f>
        <v/>
      </c>
      <c r="H37" s="31" t="str">
        <f aca="false">IF(A37="","",C37*Premissas!$C$4)</f>
        <v/>
      </c>
      <c r="I37" s="31" t="str">
        <f aca="false">IF(A37="","",D37*Premissas!$C$5)</f>
        <v/>
      </c>
      <c r="J37" s="31" t="str">
        <f aca="false">IF(A37="","",E37*Premissas!$C$6)</f>
        <v/>
      </c>
      <c r="K37" s="31" t="str">
        <f aca="false">IF(A37="","",F37*Premissas!$C$7)</f>
        <v/>
      </c>
      <c r="L37" s="37" t="str">
        <f aca="false">IF(A37="","",SUM(H37:K37))</f>
        <v/>
      </c>
      <c r="M37" s="32" t="str">
        <f aca="false">IF(A37="","",IF(G37=0,0,L37/G37))</f>
        <v/>
      </c>
      <c r="N37" s="15" t="str">
        <f aca="false">IF(A37="","",IF(L37=0,0,I37/L37))</f>
        <v/>
      </c>
      <c r="O37" s="33" t="str">
        <f aca="false">IF(A37="","",IF(L36=0,"n/d",L37/L36-1))</f>
        <v/>
      </c>
    </row>
    <row r="38" customFormat="false" ht="14.25" hidden="false" customHeight="true" outlineLevel="0" collapsed="false">
      <c r="A38" s="36" t="str">
        <f aca="false">IF(A37="","",IF(EDATE(A37,1)&gt;MAX(Diário!$A$5:$A$400),"",EDATE(A37,1)))</f>
        <v/>
      </c>
      <c r="B38" s="14" t="str">
        <f aca="false">IF(A38="","",COUNTIFS(Diário!$H$5:$H$400,A38))</f>
        <v/>
      </c>
      <c r="C38" s="14" t="str">
        <f aca="false">IF($A38="","",SUMIFS(Diário!$B$5:$B$400,Diário!$H$5:$H$400,$A38))</f>
        <v/>
      </c>
      <c r="D38" s="14" t="str">
        <f aca="false">IF($A38="","",SUMIFS(Diário!$E$5:$E$400,Diário!$H$5:$H$400,$A38))</f>
        <v/>
      </c>
      <c r="E38" s="14" t="str">
        <f aca="false">IF($A38="","",SUMIFS(Diário!$D$5:$D$400,Diário!$H$5:$H$400,$A38))</f>
        <v/>
      </c>
      <c r="F38" s="14" t="str">
        <f aca="false">IF($A38="","",SUMIFS(Diário!$C$5:$C$400,Diário!$H$5:$H$400,$A38))</f>
        <v/>
      </c>
      <c r="G38" s="14" t="str">
        <f aca="false">IF(A38="","",SUM(C38:F38))</f>
        <v/>
      </c>
      <c r="H38" s="31" t="str">
        <f aca="false">IF(A38="","",C38*Premissas!$C$4)</f>
        <v/>
      </c>
      <c r="I38" s="31" t="str">
        <f aca="false">IF(A38="","",D38*Premissas!$C$5)</f>
        <v/>
      </c>
      <c r="J38" s="31" t="str">
        <f aca="false">IF(A38="","",E38*Premissas!$C$6)</f>
        <v/>
      </c>
      <c r="K38" s="31" t="str">
        <f aca="false">IF(A38="","",F38*Premissas!$C$7)</f>
        <v/>
      </c>
      <c r="L38" s="37" t="str">
        <f aca="false">IF(A38="","",SUM(H38:K38))</f>
        <v/>
      </c>
      <c r="M38" s="32" t="str">
        <f aca="false">IF(A38="","",IF(G38=0,0,L38/G38))</f>
        <v/>
      </c>
      <c r="N38" s="15" t="str">
        <f aca="false">IF(A38="","",IF(L38=0,0,I38/L38))</f>
        <v/>
      </c>
      <c r="O38" s="33" t="str">
        <f aca="false">IF(A38="","",IF(L37=0,"n/d",L38/L37-1))</f>
        <v/>
      </c>
    </row>
    <row r="39" customFormat="false" ht="14.25" hidden="false" customHeight="true" outlineLevel="0" collapsed="false">
      <c r="A39" s="36" t="str">
        <f aca="false">IF(A38="","",IF(EDATE(A38,1)&gt;MAX(Diário!$A$5:$A$400),"",EDATE(A38,1)))</f>
        <v/>
      </c>
      <c r="B39" s="14" t="str">
        <f aca="false">IF(A39="","",COUNTIFS(Diário!$H$5:$H$400,A39))</f>
        <v/>
      </c>
      <c r="C39" s="14" t="str">
        <f aca="false">IF($A39="","",SUMIFS(Diário!$B$5:$B$400,Diário!$H$5:$H$400,$A39))</f>
        <v/>
      </c>
      <c r="D39" s="14" t="str">
        <f aca="false">IF($A39="","",SUMIFS(Diário!$E$5:$E$400,Diário!$H$5:$H$400,$A39))</f>
        <v/>
      </c>
      <c r="E39" s="14" t="str">
        <f aca="false">IF($A39="","",SUMIFS(Diário!$D$5:$D$400,Diário!$H$5:$H$400,$A39))</f>
        <v/>
      </c>
      <c r="F39" s="14" t="str">
        <f aca="false">IF($A39="","",SUMIFS(Diário!$C$5:$C$400,Diário!$H$5:$H$400,$A39))</f>
        <v/>
      </c>
      <c r="G39" s="14" t="str">
        <f aca="false">IF(A39="","",SUM(C39:F39))</f>
        <v/>
      </c>
      <c r="H39" s="31" t="str">
        <f aca="false">IF(A39="","",C39*Premissas!$C$4)</f>
        <v/>
      </c>
      <c r="I39" s="31" t="str">
        <f aca="false">IF(A39="","",D39*Premissas!$C$5)</f>
        <v/>
      </c>
      <c r="J39" s="31" t="str">
        <f aca="false">IF(A39="","",E39*Premissas!$C$6)</f>
        <v/>
      </c>
      <c r="K39" s="31" t="str">
        <f aca="false">IF(A39="","",F39*Premissas!$C$7)</f>
        <v/>
      </c>
      <c r="L39" s="37" t="str">
        <f aca="false">IF(A39="","",SUM(H39:K39))</f>
        <v/>
      </c>
      <c r="M39" s="32" t="str">
        <f aca="false">IF(A39="","",IF(G39=0,0,L39/G39))</f>
        <v/>
      </c>
      <c r="N39" s="15" t="str">
        <f aca="false">IF(A39="","",IF(L39=0,0,I39/L39))</f>
        <v/>
      </c>
      <c r="O39" s="33" t="str">
        <f aca="false">IF(A39="","",IF(L38=0,"n/d",L39/L38-1))</f>
        <v/>
      </c>
    </row>
    <row r="40" customFormat="false" ht="14.25" hidden="false" customHeight="true" outlineLevel="0" collapsed="false">
      <c r="A40" s="36" t="str">
        <f aca="false">IF(A39="","",IF(EDATE(A39,1)&gt;MAX(Diário!$A$5:$A$400),"",EDATE(A39,1)))</f>
        <v/>
      </c>
      <c r="B40" s="14" t="str">
        <f aca="false">IF(A40="","",COUNTIFS(Diário!$H$5:$H$400,A40))</f>
        <v/>
      </c>
      <c r="C40" s="14" t="str">
        <f aca="false">IF($A40="","",SUMIFS(Diário!$B$5:$B$400,Diário!$H$5:$H$400,$A40))</f>
        <v/>
      </c>
      <c r="D40" s="14" t="str">
        <f aca="false">IF($A40="","",SUMIFS(Diário!$E$5:$E$400,Diário!$H$5:$H$400,$A40))</f>
        <v/>
      </c>
      <c r="E40" s="14" t="str">
        <f aca="false">IF($A40="","",SUMIFS(Diário!$D$5:$D$400,Diário!$H$5:$H$400,$A40))</f>
        <v/>
      </c>
      <c r="F40" s="14" t="str">
        <f aca="false">IF($A40="","",SUMIFS(Diário!$C$5:$C$400,Diário!$H$5:$H$400,$A40))</f>
        <v/>
      </c>
      <c r="G40" s="14" t="str">
        <f aca="false">IF(A40="","",SUM(C40:F40))</f>
        <v/>
      </c>
      <c r="H40" s="31" t="str">
        <f aca="false">IF(A40="","",C40*Premissas!$C$4)</f>
        <v/>
      </c>
      <c r="I40" s="31" t="str">
        <f aca="false">IF(A40="","",D40*Premissas!$C$5)</f>
        <v/>
      </c>
      <c r="J40" s="31" t="str">
        <f aca="false">IF(A40="","",E40*Premissas!$C$6)</f>
        <v/>
      </c>
      <c r="K40" s="31" t="str">
        <f aca="false">IF(A40="","",F40*Premissas!$C$7)</f>
        <v/>
      </c>
      <c r="L40" s="37" t="str">
        <f aca="false">IF(A40="","",SUM(H40:K40))</f>
        <v/>
      </c>
      <c r="M40" s="32" t="str">
        <f aca="false">IF(A40="","",IF(G40=0,0,L40/G40))</f>
        <v/>
      </c>
      <c r="N40" s="15" t="str">
        <f aca="false">IF(A40="","",IF(L40=0,0,I40/L40))</f>
        <v/>
      </c>
      <c r="O40" s="33" t="str">
        <f aca="false">IF(A40="","",IF(L39=0,"n/d",L40/L39-1))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1" min="10" style="0" width="14"/>
    <col collapsed="false" customWidth="true" hidden="false" outlineLevel="0" max="13" min="12" style="0" width="15"/>
    <col collapsed="false" customWidth="true" hidden="false" outlineLevel="0" max="15" min="14" style="0" width="14"/>
    <col collapsed="false" customWidth="true" hidden="false" outlineLevel="0" max="16" min="16" style="0" width="12"/>
    <col collapsed="false" customWidth="true" hidden="false" outlineLevel="0" max="17" min="17" style="0" width="16"/>
    <col collapsed="false" customWidth="true" hidden="false" outlineLevel="0" max="18" min="18" style="0" width="18"/>
    <col collapsed="false" customWidth="true" hidden="false" outlineLevel="0" max="19" min="19" style="0" width="12"/>
  </cols>
  <sheetData>
    <row r="1" customFormat="false" ht="17.35" hidden="false" customHeight="false" outlineLevel="0" collapsed="false">
      <c r="A1" s="38" t="s">
        <v>42</v>
      </c>
    </row>
    <row r="2" customFormat="false" ht="42" hidden="false" customHeight="true" outlineLevel="0" collapsed="false">
      <c r="A2" s="39" t="s">
        <v>43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4" customFormat="false" ht="15" hidden="false" customHeight="false" outlineLevel="0" collapsed="false">
      <c r="A4" s="40" t="s">
        <v>44</v>
      </c>
      <c r="B4" s="41" t="n">
        <f aca="false">_xlfn.MAXIFS($A$14:$A$61,$S$14:$S$61,1)</f>
        <v>46266</v>
      </c>
    </row>
    <row r="5" customFormat="false" ht="31.5" hidden="false" customHeight="true" outlineLevel="0" collapsed="false">
      <c r="A5" s="12" t="s">
        <v>45</v>
      </c>
      <c r="B5" s="12" t="s">
        <v>46</v>
      </c>
      <c r="C5" s="12" t="s">
        <v>47</v>
      </c>
      <c r="D5" s="12" t="s">
        <v>48</v>
      </c>
      <c r="E5" s="12" t="s">
        <v>49</v>
      </c>
      <c r="F5" s="12" t="s">
        <v>50</v>
      </c>
    </row>
    <row r="6" customFormat="false" ht="15" hidden="false" customHeight="false" outlineLevel="0" collapsed="false">
      <c r="A6" s="42" t="str">
        <f aca="false">"Ano "&amp;(YEAR($B$4)-1)&amp;" completo"</f>
        <v>Ano 2025 completo</v>
      </c>
      <c r="B6" s="43" t="n">
        <f aca="false">COUNTIFS($A$14:$A$61,"&gt;="&amp;DATE(YEAR($B$4)-1,1,1),$A$14:$A$61,"&lt;="&amp;DATE(YEAR($B$4)-1,12,1),$S$14:$S$61,1)</f>
        <v>12</v>
      </c>
      <c r="C6" s="43" t="n">
        <f aca="false">SUMIFS($G$14:$G$61,$A$14:$A$61,"&gt;="&amp;DATE(YEAR($B$4)-1,1,1),$A$14:$A$61,"&lt;="&amp;DATE(YEAR($B$4)-1,12,1),$S$14:$S$61,1)</f>
        <v>645377</v>
      </c>
      <c r="D6" s="44" t="n">
        <f aca="false">SUMIFS($L$14:$L$61,$A$14:$A$61,"&gt;="&amp;DATE(YEAR($B$4)-1,1,1),$A$14:$A$61,"&lt;="&amp;DATE(YEAR($B$4)-1,12,1),$S$14:$S$61,1)</f>
        <v>378671.76</v>
      </c>
      <c r="E6" s="45" t="n">
        <f aca="false">IF(C6=0,0,D6/C6)</f>
        <v>0.586745049792602</v>
      </c>
      <c r="F6" s="44" t="n">
        <f aca="false">IF(B6=0,0,D6/B6)</f>
        <v>31555.98</v>
      </c>
    </row>
    <row r="7" customFormat="false" ht="15" hidden="false" customHeight="false" outlineLevel="0" collapsed="false">
      <c r="A7" s="42" t="str">
        <f aca="false">"Ano "&amp;YEAR($B$4)&amp;" (jan a "&amp;CHOOSE(MONTH($B$4),"jan","fev","mar","abr","mai","jun","jul","ago","set","out","nov","dez")&amp;")"</f>
        <v>Ano 2026 (jan a set)</v>
      </c>
      <c r="B7" s="43" t="n">
        <f aca="false">COUNTIFS($A$14:$A$61,"&gt;="&amp;DATE(YEAR($B$4),1,1),$A$14:$A$61,"&lt;="&amp;$B$4,$S$14:$S$61,1)</f>
        <v>9</v>
      </c>
      <c r="C7" s="43" t="n">
        <f aca="false">SUMIFS($G$14:$G$61,$A$14:$A$61,"&gt;="&amp;DATE(YEAR($B$4),1,1),$A$14:$A$61,"&lt;="&amp;$B$4,$S$14:$S$61,1)</f>
        <v>969444</v>
      </c>
      <c r="D7" s="44" t="n">
        <f aca="false">SUMIFS($L$14:$L$61,$A$14:$A$61,"&gt;="&amp;DATE(YEAR($B$4),1,1),$A$14:$A$61,"&lt;="&amp;$B$4,$S$14:$S$61,1)</f>
        <v>446794.71</v>
      </c>
      <c r="E7" s="45" t="n">
        <f aca="false">IF(C7=0,0,D7/C7)</f>
        <v>0.460877276046889</v>
      </c>
      <c r="F7" s="44" t="n">
        <f aca="false">IF(B7=0,0,D7/B7)</f>
        <v>49643.8566666667</v>
      </c>
    </row>
    <row r="8" customFormat="false" ht="15" hidden="false" customHeight="false" outlineLevel="0" collapsed="false">
      <c r="A8" s="42" t="str">
        <f aca="false">"Ano "&amp;(YEAR($B$4)-1)&amp;" (jan a "&amp;CHOOSE(MONTH($B$4),"jan","fev","mar","abr","mai","jun","jul","ago","set","out","nov","dez")&amp;")"</f>
        <v>Ano 2025 (jan a set)</v>
      </c>
      <c r="B8" s="43" t="n">
        <f aca="false">COUNTIFS($A$14:$A$61,"&gt;="&amp;DATE(YEAR($B$4)-1,1,1),$A$14:$A$61,"&lt;="&amp;EDATE($B$4,-12),$S$14:$S$61,1)</f>
        <v>9</v>
      </c>
      <c r="C8" s="43" t="n">
        <f aca="false">SUMIFS($G$14:$G$61,$A$14:$A$61,"&gt;="&amp;DATE(YEAR($B$4)-1,1,1),$A$14:$A$61,"&lt;="&amp;EDATE($B$4,-12),$S$14:$S$61,1)</f>
        <v>518169</v>
      </c>
      <c r="D8" s="44" t="n">
        <f aca="false">SUMIFS($L$14:$L$61,$A$14:$A$61,"&gt;="&amp;DATE(YEAR($B$4)-1,1,1),$A$14:$A$61,"&lt;="&amp;EDATE($B$4,-12),$S$14:$S$61,1)</f>
        <v>309978.72</v>
      </c>
      <c r="E8" s="45" t="n">
        <f aca="false">IF(C8=0,0,D8/C8)</f>
        <v>0.598219345425913</v>
      </c>
      <c r="F8" s="44" t="n">
        <f aca="false">IF(B8=0,0,D8/B8)</f>
        <v>34442.08</v>
      </c>
    </row>
    <row r="9" customFormat="false" ht="15" hidden="false" customHeight="false" outlineLevel="0" collapsed="false">
      <c r="A9" s="46" t="s">
        <v>51</v>
      </c>
      <c r="B9" s="47"/>
      <c r="C9" s="48" t="n">
        <f aca="false">IF(C8=0,"n/d",C7/C8-1)</f>
        <v>0.870903122340395</v>
      </c>
      <c r="D9" s="48" t="n">
        <f aca="false">IF(D8=0,"n/d",D7/D8-1)</f>
        <v>0.441372201291753</v>
      </c>
      <c r="E9" s="48" t="n">
        <f aca="false">IF(E8=0,"n/d",E7/E8-1)</f>
        <v>-0.229584801008468</v>
      </c>
      <c r="F9" s="48" t="n">
        <f aca="false">IF(F8=0,"n/d",F7/F8-1)</f>
        <v>0.441372201291753</v>
      </c>
    </row>
    <row r="10" customFormat="false" ht="15" hidden="false" customHeight="false" outlineLevel="0" collapsed="false">
      <c r="A10" s="46" t="s">
        <v>52</v>
      </c>
      <c r="B10" s="47" t="n">
        <f aca="false">COUNT($A$14:$A$61)</f>
        <v>22</v>
      </c>
      <c r="C10" s="47" t="n">
        <f aca="false">SUM($G$14:$G$61)</f>
        <v>1786012</v>
      </c>
      <c r="D10" s="49" t="n">
        <f aca="false">SUM($L$14:$L$61)</f>
        <v>845816.46</v>
      </c>
      <c r="E10" s="50" t="n">
        <f aca="false">IF(C10=0,0,D10/C10)</f>
        <v>0.473578262632054</v>
      </c>
      <c r="F10" s="49" t="n">
        <f aca="false">IF(B10=0,0,D10/B10)</f>
        <v>38446.2027272727</v>
      </c>
    </row>
    <row r="11" customFormat="false" ht="15" hidden="false" customHeight="false" outlineLevel="0" collapsed="false">
      <c r="A11" s="20" t="s">
        <v>53</v>
      </c>
    </row>
    <row r="12" customFormat="false" ht="15" hidden="false" customHeight="false" outlineLevel="0" collapsed="false">
      <c r="C12" s="51" t="s">
        <v>47</v>
      </c>
      <c r="D12" s="51"/>
      <c r="E12" s="51"/>
      <c r="F12" s="51"/>
      <c r="G12" s="51"/>
      <c r="H12" s="51" t="s">
        <v>48</v>
      </c>
      <c r="I12" s="51"/>
      <c r="J12" s="51"/>
      <c r="K12" s="51"/>
      <c r="L12" s="51"/>
    </row>
    <row r="13" customFormat="false" ht="57.75" hidden="false" customHeight="true" outlineLevel="0" collapsed="false">
      <c r="A13" s="12" t="s">
        <v>25</v>
      </c>
      <c r="B13" s="12" t="s">
        <v>31</v>
      </c>
      <c r="C13" s="12" t="s">
        <v>3</v>
      </c>
      <c r="D13" s="12" t="s">
        <v>4</v>
      </c>
      <c r="E13" s="12" t="s">
        <v>5</v>
      </c>
      <c r="F13" s="12" t="s">
        <v>6</v>
      </c>
      <c r="G13" s="12" t="s">
        <v>54</v>
      </c>
      <c r="H13" s="12" t="s">
        <v>3</v>
      </c>
      <c r="I13" s="12" t="s">
        <v>4</v>
      </c>
      <c r="J13" s="12" t="s">
        <v>5</v>
      </c>
      <c r="K13" s="12" t="s">
        <v>6</v>
      </c>
      <c r="L13" s="12" t="s">
        <v>55</v>
      </c>
      <c r="M13" s="12" t="s">
        <v>49</v>
      </c>
      <c r="N13" s="12" t="s">
        <v>56</v>
      </c>
      <c r="O13" s="12" t="s">
        <v>57</v>
      </c>
      <c r="P13" s="12" t="s">
        <v>58</v>
      </c>
      <c r="Q13" s="12" t="s">
        <v>59</v>
      </c>
      <c r="R13" s="12" t="s">
        <v>60</v>
      </c>
      <c r="S13" s="12" t="s">
        <v>61</v>
      </c>
    </row>
    <row r="14" customFormat="false" ht="15" hidden="false" customHeight="false" outlineLevel="0" collapsed="false">
      <c r="A14" s="52" t="n">
        <f aca="false">MIN('Histórico diário'!$G$5:$G$642)</f>
        <v>45658</v>
      </c>
      <c r="B14" s="53" t="n">
        <f aca="false">IF(A14="","",COUNTIFS('Histórico diário'!$G$5:$G$642,A14)+COUNTIFS(Diário!$H$5:$H$400,A14))</f>
        <v>31</v>
      </c>
      <c r="C14" s="53" t="n">
        <f aca="false">IF($A14="","",SUMIFS('Histórico diário'!$B$5:$B$642,'Histórico diário'!$G$5:$G$642,$A14)+SUMIFS(Diário!$B$5:$B$400,Diário!$H$5:$H$400,$A14))</f>
        <v>0</v>
      </c>
      <c r="D14" s="53" t="n">
        <f aca="false">IF($A14="","",SUMIFS('Histórico diário'!$E$5:$E$642,'Histórico diário'!$G$5:$G$642,$A14)+SUMIFS(Diário!$E$5:$E$400,Diário!$H$5:$H$400,$A14))</f>
        <v>0</v>
      </c>
      <c r="E14" s="53" t="n">
        <f aca="false">IF($A14="","",SUMIFS('Histórico diário'!$D$5:$D$642,'Histórico diário'!$G$5:$G$642,$A14)+SUMIFS(Diário!$D$5:$D$400,Diário!$H$5:$H$400,$A14))</f>
        <v>31537</v>
      </c>
      <c r="F14" s="53" t="n">
        <f aca="false">IF($A14="","",SUMIFS('Histórico diário'!$C$5:$C$642,'Histórico diário'!$G$5:$G$642,$A14)+SUMIFS(Diário!$C$5:$C$400,Diário!$H$5:$H$400,$A14))</f>
        <v>0</v>
      </c>
      <c r="G14" s="54" t="n">
        <f aca="false">IF(A14="","",SUM(C14:F14))</f>
        <v>31537</v>
      </c>
      <c r="H14" s="55" t="n">
        <f aca="false">IF($A14="","",C14*IFERROR(INDEX('Tarifas por mês'!$B$5:$B$25,MATCH($A14,'Tarifas por mês'!$A$5:$A$25,0)),Premissas!$C$4))</f>
        <v>0</v>
      </c>
      <c r="I14" s="55" t="n">
        <f aca="false">IF($A14="","",D14*IFERROR(INDEX('Tarifas por mês'!$C$5:$C$25,MATCH($A14,'Tarifas por mês'!$A$5:$A$25,0)),Premissas!$C$5))</f>
        <v>0</v>
      </c>
      <c r="J14" s="55" t="n">
        <f aca="false">IF($A14="","",E14*IFERROR(INDEX('Tarifas por mês'!$D$5:$D$25,MATCH($A14,'Tarifas por mês'!$A$5:$A$25,0)),Premissas!$C$6))</f>
        <v>18922.2</v>
      </c>
      <c r="K14" s="55" t="n">
        <f aca="false">IF($A14="","",F14*IFERROR(INDEX('Tarifas por mês'!$E$5:$E$25,MATCH($A14,'Tarifas por mês'!$A$5:$A$25,0)),Premissas!$C$7))</f>
        <v>0</v>
      </c>
      <c r="L14" s="56" t="n">
        <f aca="false">IF(A14="","",SUM(H14:K14))</f>
        <v>18922.2</v>
      </c>
      <c r="M14" s="57" t="n">
        <f aca="false">IF(A14="","",IF(G14=0,0,L14/G14))</f>
        <v>0.6</v>
      </c>
      <c r="N14" s="53" t="n">
        <f aca="false">IF(A14="","",IF(B14=0,0,G14/B14))</f>
        <v>1017.32258064516</v>
      </c>
      <c r="O14" s="53" t="n">
        <f aca="false">IF(A14="","",MAX(_xlfn.MAXIFS('Histórico diário'!$F$5:$F$642,'Histórico diário'!$G$5:$G$642,$A14),_xlfn.MAXIFS(Diário!$F$5:$F$400,Diário!$H$5:$H$400,$A14)))</f>
        <v>10198</v>
      </c>
      <c r="P14" s="58" t="n">
        <f aca="false">IF($A14="","",IF(O14=0,"",IF(_xlfn.MAXIFS('Histórico diário'!$F$5:$F$642,'Histórico diário'!$G$5:$G$642,$A14)&gt;=_xlfn.MAXIFS(Diário!$F$5:$F$400,Diário!$H$5:$H$400,$A14),SUMPRODUCT(MAX(('Histórico diário'!$G$5:$G$642=$A14)*('Histórico diário'!$F$5:$F$642=O14)*'Histórico diário'!$A$5:$A$642)),SUMPRODUCT(MAX((Diário!$H$5:$H$400=$A14)*(Diário!$F$5:$F$400=O14)*Diário!$A$5:$A$400)))))</f>
        <v>45684</v>
      </c>
      <c r="Q14" s="59" t="str">
        <f aca="false">IF(A14="","","n/d")</f>
        <v>n/d</v>
      </c>
      <c r="R14" s="59" t="str">
        <f aca="false">IF(A14="","","n/d")</f>
        <v>n/d</v>
      </c>
      <c r="S14" s="53" t="n">
        <f aca="false">IF(A14="","",IF(B14=DAY(EOMONTH(A14,0)),1,0))</f>
        <v>1</v>
      </c>
    </row>
    <row r="15" customFormat="false" ht="15" hidden="false" customHeight="false" outlineLevel="0" collapsed="false">
      <c r="A15" s="52" t="n">
        <f aca="false">IF(A14="","",IF(EDATE(A14,1)&gt;MAX(MAX('Histórico diário'!$A$5:$A$642),MAX(Diário!$A$5:$A$400)),"",EDATE(A14,1)))</f>
        <v>45689</v>
      </c>
      <c r="B15" s="53" t="n">
        <f aca="false">IF(A15="","",COUNTIFS('Histórico diário'!$G$5:$G$642,A15)+COUNTIFS(Diário!$H$5:$H$400,A15))</f>
        <v>28</v>
      </c>
      <c r="C15" s="53" t="n">
        <f aca="false">IF($A15="","",SUMIFS('Histórico diário'!$B$5:$B$642,'Histórico diário'!$G$5:$G$642,$A15)+SUMIFS(Diário!$B$5:$B$400,Diário!$H$5:$H$400,$A15))</f>
        <v>0</v>
      </c>
      <c r="D15" s="53" t="n">
        <f aca="false">IF($A15="","",SUMIFS('Histórico diário'!$E$5:$E$642,'Histórico diário'!$G$5:$G$642,$A15)+SUMIFS(Diário!$E$5:$E$400,Diário!$H$5:$H$400,$A15))</f>
        <v>0</v>
      </c>
      <c r="E15" s="53" t="n">
        <f aca="false">IF($A15="","",SUMIFS('Histórico diário'!$D$5:$D$642,'Histórico diário'!$G$5:$G$642,$A15)+SUMIFS(Diário!$D$5:$D$400,Diário!$H$5:$H$400,$A15))</f>
        <v>35732</v>
      </c>
      <c r="F15" s="53" t="n">
        <f aca="false">IF($A15="","",SUMIFS('Histórico diário'!$C$5:$C$642,'Histórico diário'!$G$5:$G$642,$A15)+SUMIFS(Diário!$C$5:$C$400,Diário!$H$5:$H$400,$A15))</f>
        <v>0</v>
      </c>
      <c r="G15" s="54" t="n">
        <f aca="false">IF(A15="","",SUM(C15:F15))</f>
        <v>35732</v>
      </c>
      <c r="H15" s="55" t="n">
        <f aca="false">IF($A15="","",C15*IFERROR(INDEX('Tarifas por mês'!$B$5:$B$25,MATCH($A15,'Tarifas por mês'!$A$5:$A$25,0)),Premissas!$C$4))</f>
        <v>0</v>
      </c>
      <c r="I15" s="55" t="n">
        <f aca="false">IF($A15="","",D15*IFERROR(INDEX('Tarifas por mês'!$C$5:$C$25,MATCH($A15,'Tarifas por mês'!$A$5:$A$25,0)),Premissas!$C$5))</f>
        <v>0</v>
      </c>
      <c r="J15" s="55" t="n">
        <f aca="false">IF($A15="","",E15*IFERROR(INDEX('Tarifas por mês'!$D$5:$D$25,MATCH($A15,'Tarifas por mês'!$A$5:$A$25,0)),Premissas!$C$6))</f>
        <v>21439.2</v>
      </c>
      <c r="K15" s="55" t="n">
        <f aca="false">IF($A15="","",F15*IFERROR(INDEX('Tarifas por mês'!$E$5:$E$25,MATCH($A15,'Tarifas por mês'!$A$5:$A$25,0)),Premissas!$C$7))</f>
        <v>0</v>
      </c>
      <c r="L15" s="56" t="n">
        <f aca="false">IF(A15="","",SUM(H15:K15))</f>
        <v>21439.2</v>
      </c>
      <c r="M15" s="57" t="n">
        <f aca="false">IF(A15="","",IF(G15=0,0,L15/G15))</f>
        <v>0.6</v>
      </c>
      <c r="N15" s="53" t="n">
        <f aca="false">IF(A15="","",IF(B15=0,0,G15/B15))</f>
        <v>1276.14285714286</v>
      </c>
      <c r="O15" s="53" t="n">
        <f aca="false">IF(A15="","",MAX(_xlfn.MAXIFS('Histórico diário'!$F$5:$F$642,'Histórico diário'!$G$5:$G$642,$A15),_xlfn.MAXIFS(Diário!$F$5:$F$400,Diário!$H$5:$H$400,$A15)))</f>
        <v>8271</v>
      </c>
      <c r="P15" s="58" t="n">
        <f aca="false">IF($A15="","",IF(O15=0,"",IF(_xlfn.MAXIFS('Histórico diário'!$F$5:$F$642,'Histórico diário'!$G$5:$G$642,$A15)&gt;=_xlfn.MAXIFS(Diário!$F$5:$F$400,Diário!$H$5:$H$400,$A15),SUMPRODUCT(MAX(('Histórico diário'!$G$5:$G$642=$A15)*('Histórico diário'!$F$5:$F$642=O15)*'Histórico diário'!$A$5:$A$642)),SUMPRODUCT(MAX((Diário!$H$5:$H$400=$A15)*(Diário!$F$5:$F$400=O15)*Diário!$A$5:$A$400)))))</f>
        <v>45714</v>
      </c>
      <c r="Q15" s="59" t="n">
        <f aca="false">IF(A15="","",IF(S15=0,"parcial",IF(L14=0,"n/d",L15/L14-1)))</f>
        <v>0.133018359387386</v>
      </c>
      <c r="R15" s="59" t="str">
        <f aca="false">IF(A15="","","n/d")</f>
        <v>n/d</v>
      </c>
      <c r="S15" s="53" t="n">
        <f aca="false">IF(A15="","",IF(B15=DAY(EOMONTH(A15,0)),1,0))</f>
        <v>1</v>
      </c>
    </row>
    <row r="16" customFormat="false" ht="15" hidden="false" customHeight="false" outlineLevel="0" collapsed="false">
      <c r="A16" s="52" t="n">
        <f aca="false">IF(A15="","",IF(EDATE(A15,1)&gt;MAX(MAX('Histórico diário'!$A$5:$A$642),MAX(Diário!$A$5:$A$400)),"",EDATE(A15,1)))</f>
        <v>45717</v>
      </c>
      <c r="B16" s="53" t="n">
        <f aca="false">IF(A16="","",COUNTIFS('Histórico diário'!$G$5:$G$642,A16)+COUNTIFS(Diário!$H$5:$H$400,A16))</f>
        <v>31</v>
      </c>
      <c r="C16" s="53" t="n">
        <f aca="false">IF($A16="","",SUMIFS('Histórico diário'!$B$5:$B$642,'Histórico diário'!$G$5:$G$642,$A16)+SUMIFS(Diário!$B$5:$B$400,Diário!$H$5:$H$400,$A16))</f>
        <v>0</v>
      </c>
      <c r="D16" s="53" t="n">
        <f aca="false">IF($A16="","",SUMIFS('Histórico diário'!$E$5:$E$642,'Histórico diário'!$G$5:$G$642,$A16)+SUMIFS(Diário!$E$5:$E$400,Diário!$H$5:$H$400,$A16))</f>
        <v>0</v>
      </c>
      <c r="E16" s="53" t="n">
        <f aca="false">IF($A16="","",SUMIFS('Histórico diário'!$D$5:$D$642,'Histórico diário'!$G$5:$G$642,$A16)+SUMIFS(Diário!$D$5:$D$400,Diário!$H$5:$H$400,$A16))</f>
        <v>56910</v>
      </c>
      <c r="F16" s="53" t="n">
        <f aca="false">IF($A16="","",SUMIFS('Histórico diário'!$C$5:$C$642,'Histórico diário'!$G$5:$G$642,$A16)+SUMIFS(Diário!$C$5:$C$400,Diário!$H$5:$H$400,$A16))</f>
        <v>0</v>
      </c>
      <c r="G16" s="54" t="n">
        <f aca="false">IF(A16="","",SUM(C16:F16))</f>
        <v>56910</v>
      </c>
      <c r="H16" s="55" t="n">
        <f aca="false">IF($A16="","",C16*IFERROR(INDEX('Tarifas por mês'!$B$5:$B$25,MATCH($A16,'Tarifas por mês'!$A$5:$A$25,0)),Premissas!$C$4))</f>
        <v>0</v>
      </c>
      <c r="I16" s="55" t="n">
        <f aca="false">IF($A16="","",D16*IFERROR(INDEX('Tarifas por mês'!$C$5:$C$25,MATCH($A16,'Tarifas por mês'!$A$5:$A$25,0)),Premissas!$C$5))</f>
        <v>0</v>
      </c>
      <c r="J16" s="55" t="n">
        <f aca="false">IF($A16="","",E16*IFERROR(INDEX('Tarifas por mês'!$D$5:$D$25,MATCH($A16,'Tarifas por mês'!$A$5:$A$25,0)),Premissas!$C$6))</f>
        <v>34146</v>
      </c>
      <c r="K16" s="55" t="n">
        <f aca="false">IF($A16="","",F16*IFERROR(INDEX('Tarifas por mês'!$E$5:$E$25,MATCH($A16,'Tarifas por mês'!$A$5:$A$25,0)),Premissas!$C$7))</f>
        <v>0</v>
      </c>
      <c r="L16" s="56" t="n">
        <f aca="false">IF(A16="","",SUM(H16:K16))</f>
        <v>34146</v>
      </c>
      <c r="M16" s="57" t="n">
        <f aca="false">IF(A16="","",IF(G16=0,0,L16/G16))</f>
        <v>0.6</v>
      </c>
      <c r="N16" s="53" t="n">
        <f aca="false">IF(A16="","",IF(B16=0,0,G16/B16))</f>
        <v>1835.8064516129</v>
      </c>
      <c r="O16" s="53" t="n">
        <f aca="false">IF(A16="","",MAX(_xlfn.MAXIFS('Histórico diário'!$F$5:$F$642,'Histórico diário'!$G$5:$G$642,$A16),_xlfn.MAXIFS(Diário!$F$5:$F$400,Diário!$H$5:$H$400,$A16)))</f>
        <v>15288</v>
      </c>
      <c r="P16" s="58" t="n">
        <f aca="false">IF($A16="","",IF(O16=0,"",IF(_xlfn.MAXIFS('Histórico diário'!$F$5:$F$642,'Histórico diário'!$G$5:$G$642,$A16)&gt;=_xlfn.MAXIFS(Diário!$F$5:$F$400,Diário!$H$5:$H$400,$A16),SUMPRODUCT(MAX(('Histórico diário'!$G$5:$G$642=$A16)*('Histórico diário'!$F$5:$F$642=O16)*'Histórico diário'!$A$5:$A$642)),SUMPRODUCT(MAX((Diário!$H$5:$H$400=$A16)*(Diário!$F$5:$F$400=O16)*Diário!$A$5:$A$400)))))</f>
        <v>45745</v>
      </c>
      <c r="Q16" s="59" t="n">
        <f aca="false">IF(A16="","",IF(S16=0,"parcial",IF(L15=0,"n/d",L16/L15-1)))</f>
        <v>0.592690025747229</v>
      </c>
      <c r="R16" s="59" t="str">
        <f aca="false">IF(A16="","","n/d")</f>
        <v>n/d</v>
      </c>
      <c r="S16" s="53" t="n">
        <f aca="false">IF(A16="","",IF(B16=DAY(EOMONTH(A16,0)),1,0))</f>
        <v>1</v>
      </c>
    </row>
    <row r="17" customFormat="false" ht="15" hidden="false" customHeight="false" outlineLevel="0" collapsed="false">
      <c r="A17" s="52" t="n">
        <f aca="false">IF(A16="","",IF(EDATE(A16,1)&gt;MAX(MAX('Histórico diário'!$A$5:$A$642),MAX(Diário!$A$5:$A$400)),"",EDATE(A16,1)))</f>
        <v>45748</v>
      </c>
      <c r="B17" s="53" t="n">
        <f aca="false">IF(A17="","",COUNTIFS('Histórico diário'!$G$5:$G$642,A17)+COUNTIFS(Diário!$H$5:$H$400,A17))</f>
        <v>30</v>
      </c>
      <c r="C17" s="53" t="n">
        <f aca="false">IF($A17="","",SUMIFS('Histórico diário'!$B$5:$B$642,'Histórico diário'!$G$5:$G$642,$A17)+SUMIFS(Diário!$B$5:$B$400,Diário!$H$5:$H$400,$A17))</f>
        <v>0</v>
      </c>
      <c r="D17" s="53" t="n">
        <f aca="false">IF($A17="","",SUMIFS('Histórico diário'!$E$5:$E$642,'Histórico diário'!$G$5:$G$642,$A17)+SUMIFS(Diário!$E$5:$E$400,Diário!$H$5:$H$400,$A17))</f>
        <v>0</v>
      </c>
      <c r="E17" s="53" t="n">
        <f aca="false">IF($A17="","",SUMIFS('Histórico diário'!$D$5:$D$642,'Histórico diário'!$G$5:$G$642,$A17)+SUMIFS(Diário!$D$5:$D$400,Diário!$H$5:$H$400,$A17))</f>
        <v>71158</v>
      </c>
      <c r="F17" s="53" t="n">
        <f aca="false">IF($A17="","",SUMIFS('Histórico diário'!$C$5:$C$642,'Histórico diário'!$G$5:$G$642,$A17)+SUMIFS(Diário!$C$5:$C$400,Diário!$H$5:$H$400,$A17))</f>
        <v>0</v>
      </c>
      <c r="G17" s="54" t="n">
        <f aca="false">IF(A17="","",SUM(C17:F17))</f>
        <v>71158</v>
      </c>
      <c r="H17" s="55" t="n">
        <f aca="false">IF($A17="","",C17*IFERROR(INDEX('Tarifas por mês'!$B$5:$B$25,MATCH($A17,'Tarifas por mês'!$A$5:$A$25,0)),Premissas!$C$4))</f>
        <v>0</v>
      </c>
      <c r="I17" s="55" t="n">
        <f aca="false">IF($A17="","",D17*IFERROR(INDEX('Tarifas por mês'!$C$5:$C$25,MATCH($A17,'Tarifas por mês'!$A$5:$A$25,0)),Premissas!$C$5))</f>
        <v>0</v>
      </c>
      <c r="J17" s="55" t="n">
        <f aca="false">IF($A17="","",E17*IFERROR(INDEX('Tarifas por mês'!$D$5:$D$25,MATCH($A17,'Tarifas por mês'!$A$5:$A$25,0)),Premissas!$C$6))</f>
        <v>42694.8</v>
      </c>
      <c r="K17" s="55" t="n">
        <f aca="false">IF($A17="","",F17*IFERROR(INDEX('Tarifas por mês'!$E$5:$E$25,MATCH($A17,'Tarifas por mês'!$A$5:$A$25,0)),Premissas!$C$7))</f>
        <v>0</v>
      </c>
      <c r="L17" s="56" t="n">
        <f aca="false">IF(A17="","",SUM(H17:K17))</f>
        <v>42694.8</v>
      </c>
      <c r="M17" s="57" t="n">
        <f aca="false">IF(A17="","",IF(G17=0,0,L17/G17))</f>
        <v>0.6</v>
      </c>
      <c r="N17" s="53" t="n">
        <f aca="false">IF(A17="","",IF(B17=0,0,G17/B17))</f>
        <v>2371.93333333333</v>
      </c>
      <c r="O17" s="53" t="n">
        <f aca="false">IF(A17="","",MAX(_xlfn.MAXIFS('Histórico diário'!$F$5:$F$642,'Histórico diário'!$G$5:$G$642,$A17),_xlfn.MAXIFS(Diário!$F$5:$F$400,Diário!$H$5:$H$400,$A17)))</f>
        <v>13970</v>
      </c>
      <c r="P17" s="58" t="n">
        <f aca="false">IF($A17="","",IF(O17=0,"",IF(_xlfn.MAXIFS('Histórico diário'!$F$5:$F$642,'Histórico diário'!$G$5:$G$642,$A17)&gt;=_xlfn.MAXIFS(Diário!$F$5:$F$400,Diário!$H$5:$H$400,$A17),SUMPRODUCT(MAX(('Histórico diário'!$G$5:$G$642=$A17)*('Histórico diário'!$F$5:$F$642=O17)*'Histórico diário'!$A$5:$A$642)),SUMPRODUCT(MAX((Diário!$H$5:$H$400=$A17)*(Diário!$F$5:$F$400=O17)*Diário!$A$5:$A$400)))))</f>
        <v>45760</v>
      </c>
      <c r="Q17" s="59" t="n">
        <f aca="false">IF(A17="","",IF(S17=0,"parcial",IF(L16=0,"n/d",L17/L16-1)))</f>
        <v>0.250360217887893</v>
      </c>
      <c r="R17" s="59" t="str">
        <f aca="false">IF(A17="","","n/d")</f>
        <v>n/d</v>
      </c>
      <c r="S17" s="53" t="n">
        <f aca="false">IF(A17="","",IF(B17=DAY(EOMONTH(A17,0)),1,0))</f>
        <v>1</v>
      </c>
    </row>
    <row r="18" customFormat="false" ht="15" hidden="false" customHeight="false" outlineLevel="0" collapsed="false">
      <c r="A18" s="52" t="n">
        <f aca="false">IF(A17="","",IF(EDATE(A17,1)&gt;MAX(MAX('Histórico diário'!$A$5:$A$642),MAX(Diário!$A$5:$A$400)),"",EDATE(A17,1)))</f>
        <v>45778</v>
      </c>
      <c r="B18" s="53" t="n">
        <f aca="false">IF(A18="","",COUNTIFS('Histórico diário'!$G$5:$G$642,A18)+COUNTIFS(Diário!$H$5:$H$400,A18))</f>
        <v>31</v>
      </c>
      <c r="C18" s="53" t="n">
        <f aca="false">IF($A18="","",SUMIFS('Histórico diário'!$B$5:$B$642,'Histórico diário'!$G$5:$G$642,$A18)+SUMIFS(Diário!$B$5:$B$400,Diário!$H$5:$H$400,$A18))</f>
        <v>0</v>
      </c>
      <c r="D18" s="53" t="n">
        <f aca="false">IF($A18="","",SUMIFS('Histórico diário'!$E$5:$E$642,'Histórico diário'!$G$5:$G$642,$A18)+SUMIFS(Diário!$E$5:$E$400,Diário!$H$5:$H$400,$A18))</f>
        <v>0</v>
      </c>
      <c r="E18" s="53" t="n">
        <f aca="false">IF($A18="","",SUMIFS('Histórico diário'!$D$5:$D$642,'Histórico diário'!$G$5:$G$642,$A18)+SUMIFS(Diário!$D$5:$D$400,Diário!$H$5:$H$400,$A18))</f>
        <v>116608</v>
      </c>
      <c r="F18" s="53" t="n">
        <f aca="false">IF($A18="","",SUMIFS('Histórico diário'!$C$5:$C$642,'Histórico diário'!$G$5:$G$642,$A18)+SUMIFS(Diário!$C$5:$C$400,Diário!$H$5:$H$400,$A18))</f>
        <v>0</v>
      </c>
      <c r="G18" s="54" t="n">
        <f aca="false">IF(A18="","",SUM(C18:F18))</f>
        <v>116608</v>
      </c>
      <c r="H18" s="55" t="n">
        <f aca="false">IF($A18="","",C18*IFERROR(INDEX('Tarifas por mês'!$B$5:$B$25,MATCH($A18,'Tarifas por mês'!$A$5:$A$25,0)),Premissas!$C$4))</f>
        <v>0</v>
      </c>
      <c r="I18" s="55" t="n">
        <f aca="false">IF($A18="","",D18*IFERROR(INDEX('Tarifas por mês'!$C$5:$C$25,MATCH($A18,'Tarifas por mês'!$A$5:$A$25,0)),Premissas!$C$5))</f>
        <v>0</v>
      </c>
      <c r="J18" s="55" t="n">
        <f aca="false">IF($A18="","",E18*IFERROR(INDEX('Tarifas por mês'!$D$5:$D$25,MATCH($A18,'Tarifas por mês'!$A$5:$A$25,0)),Premissas!$C$6))</f>
        <v>69964.8</v>
      </c>
      <c r="K18" s="55" t="n">
        <f aca="false">IF($A18="","",F18*IFERROR(INDEX('Tarifas por mês'!$E$5:$E$25,MATCH($A18,'Tarifas por mês'!$A$5:$A$25,0)),Premissas!$C$7))</f>
        <v>0</v>
      </c>
      <c r="L18" s="56" t="n">
        <f aca="false">IF(A18="","",SUM(H18:K18))</f>
        <v>69964.8</v>
      </c>
      <c r="M18" s="57" t="n">
        <f aca="false">IF(A18="","",IF(G18=0,0,L18/G18))</f>
        <v>0.6</v>
      </c>
      <c r="N18" s="53" t="n">
        <f aca="false">IF(A18="","",IF(B18=0,0,G18/B18))</f>
        <v>3761.54838709677</v>
      </c>
      <c r="O18" s="53" t="n">
        <f aca="false">IF(A18="","",MAX(_xlfn.MAXIFS('Histórico diário'!$F$5:$F$642,'Histórico diário'!$G$5:$G$642,$A18),_xlfn.MAXIFS(Diário!$F$5:$F$400,Diário!$H$5:$H$400,$A18)))</f>
        <v>17672</v>
      </c>
      <c r="P18" s="58" t="n">
        <f aca="false">IF($A18="","",IF(O18=0,"",IF(_xlfn.MAXIFS('Histórico diário'!$F$5:$F$642,'Histórico diário'!$G$5:$G$642,$A18)&gt;=_xlfn.MAXIFS(Diário!$F$5:$F$400,Diário!$H$5:$H$400,$A18),SUMPRODUCT(MAX(('Histórico diário'!$G$5:$G$642=$A18)*('Histórico diário'!$F$5:$F$642=O18)*'Histórico diário'!$A$5:$A$642)),SUMPRODUCT(MAX((Diário!$H$5:$H$400=$A18)*(Diário!$F$5:$F$400=O18)*Diário!$A$5:$A$400)))))</f>
        <v>45781</v>
      </c>
      <c r="Q18" s="59" t="n">
        <f aca="false">IF(A18="","",IF(S18=0,"parcial",IF(L17=0,"n/d",L18/L17-1)))</f>
        <v>0.638719469349898</v>
      </c>
      <c r="R18" s="59" t="str">
        <f aca="false">IF(A18="","","n/d")</f>
        <v>n/d</v>
      </c>
      <c r="S18" s="53" t="n">
        <f aca="false">IF(A18="","",IF(B18=DAY(EOMONTH(A18,0)),1,0))</f>
        <v>1</v>
      </c>
    </row>
    <row r="19" customFormat="false" ht="15" hidden="false" customHeight="false" outlineLevel="0" collapsed="false">
      <c r="A19" s="52" t="n">
        <f aca="false">IF(A18="","",IF(EDATE(A18,1)&gt;MAX(MAX('Histórico diário'!$A$5:$A$642),MAX(Diário!$A$5:$A$400)),"",EDATE(A18,1)))</f>
        <v>45809</v>
      </c>
      <c r="B19" s="53" t="n">
        <f aca="false">IF(A19="","",COUNTIFS('Histórico diário'!$G$5:$G$642,A19)+COUNTIFS(Diário!$H$5:$H$400,A19))</f>
        <v>30</v>
      </c>
      <c r="C19" s="53" t="n">
        <f aca="false">IF($A19="","",SUMIFS('Histórico diário'!$B$5:$B$642,'Histórico diário'!$G$5:$G$642,$A19)+SUMIFS(Diário!$B$5:$B$400,Diário!$H$5:$H$400,$A19))</f>
        <v>0</v>
      </c>
      <c r="D19" s="53" t="n">
        <f aca="false">IF($A19="","",SUMIFS('Histórico diário'!$E$5:$E$642,'Histórico diário'!$G$5:$G$642,$A19)+SUMIFS(Diário!$E$5:$E$400,Diário!$H$5:$H$400,$A19))</f>
        <v>0</v>
      </c>
      <c r="E19" s="53" t="n">
        <f aca="false">IF($A19="","",SUMIFS('Histórico diário'!$D$5:$D$642,'Histórico diário'!$G$5:$G$642,$A19)+SUMIFS(Diário!$D$5:$D$400,Diário!$H$5:$H$400,$A19))</f>
        <v>78258</v>
      </c>
      <c r="F19" s="53" t="n">
        <f aca="false">IF($A19="","",SUMIFS('Histórico diário'!$C$5:$C$642,'Histórico diário'!$G$5:$G$642,$A19)+SUMIFS(Diário!$C$5:$C$400,Diário!$H$5:$H$400,$A19))</f>
        <v>0</v>
      </c>
      <c r="G19" s="54" t="n">
        <f aca="false">IF(A19="","",SUM(C19:F19))</f>
        <v>78258</v>
      </c>
      <c r="H19" s="55" t="n">
        <f aca="false">IF($A19="","",C19*IFERROR(INDEX('Tarifas por mês'!$B$5:$B$25,MATCH($A19,'Tarifas por mês'!$A$5:$A$25,0)),Premissas!$C$4))</f>
        <v>0</v>
      </c>
      <c r="I19" s="55" t="n">
        <f aca="false">IF($A19="","",D19*IFERROR(INDEX('Tarifas por mês'!$C$5:$C$25,MATCH($A19,'Tarifas por mês'!$A$5:$A$25,0)),Premissas!$C$5))</f>
        <v>0</v>
      </c>
      <c r="J19" s="55" t="n">
        <f aca="false">IF($A19="","",E19*IFERROR(INDEX('Tarifas por mês'!$D$5:$D$25,MATCH($A19,'Tarifas por mês'!$A$5:$A$25,0)),Premissas!$C$6))</f>
        <v>46954.8</v>
      </c>
      <c r="K19" s="55" t="n">
        <f aca="false">IF($A19="","",F19*IFERROR(INDEX('Tarifas por mês'!$E$5:$E$25,MATCH($A19,'Tarifas por mês'!$A$5:$A$25,0)),Premissas!$C$7))</f>
        <v>0</v>
      </c>
      <c r="L19" s="56" t="n">
        <f aca="false">IF(A19="","",SUM(H19:K19))</f>
        <v>46954.8</v>
      </c>
      <c r="M19" s="57" t="n">
        <f aca="false">IF(A19="","",IF(G19=0,0,L19/G19))</f>
        <v>0.6</v>
      </c>
      <c r="N19" s="53" t="n">
        <f aca="false">IF(A19="","",IF(B19=0,0,G19/B19))</f>
        <v>2608.6</v>
      </c>
      <c r="O19" s="53" t="n">
        <f aca="false">IF(A19="","",MAX(_xlfn.MAXIFS('Histórico diário'!$F$5:$F$642,'Histórico diário'!$G$5:$G$642,$A19),_xlfn.MAXIFS(Diário!$F$5:$F$400,Diário!$H$5:$H$400,$A19)))</f>
        <v>20036</v>
      </c>
      <c r="P19" s="58" t="n">
        <f aca="false">IF($A19="","",IF(O19=0,"",IF(_xlfn.MAXIFS('Histórico diário'!$F$5:$F$642,'Histórico diário'!$G$5:$G$642,$A19)&gt;=_xlfn.MAXIFS(Diário!$F$5:$F$400,Diário!$H$5:$H$400,$A19),SUMPRODUCT(MAX(('Histórico diário'!$G$5:$G$642=$A19)*('Histórico diário'!$F$5:$F$642=O19)*'Histórico diário'!$A$5:$A$642)),SUMPRODUCT(MAX((Diário!$H$5:$H$400=$A19)*(Diário!$F$5:$F$400=O19)*Diário!$A$5:$A$400)))))</f>
        <v>45819</v>
      </c>
      <c r="Q19" s="59" t="n">
        <f aca="false">IF(A19="","",IF(S19=0,"parcial",IF(L18=0,"n/d",L19/L18-1)))</f>
        <v>-0.328879665203074</v>
      </c>
      <c r="R19" s="59" t="str">
        <f aca="false">IF(A19="","","n/d")</f>
        <v>n/d</v>
      </c>
      <c r="S19" s="53" t="n">
        <f aca="false">IF(A19="","",IF(B19=DAY(EOMONTH(A19,0)),1,0))</f>
        <v>1</v>
      </c>
    </row>
    <row r="20" customFormat="false" ht="15" hidden="false" customHeight="false" outlineLevel="0" collapsed="false">
      <c r="A20" s="52" t="n">
        <f aca="false">IF(A19="","",IF(EDATE(A19,1)&gt;MAX(MAX('Histórico diário'!$A$5:$A$642),MAX(Diário!$A$5:$A$400)),"",EDATE(A19,1)))</f>
        <v>45839</v>
      </c>
      <c r="B20" s="53" t="n">
        <f aca="false">IF(A20="","",COUNTIFS('Histórico diário'!$G$5:$G$642,A20)+COUNTIFS(Diário!$H$5:$H$400,A20))</f>
        <v>31</v>
      </c>
      <c r="C20" s="53" t="n">
        <f aca="false">IF($A20="","",SUMIFS('Histórico diário'!$B$5:$B$642,'Histórico diário'!$G$5:$G$642,$A20)+SUMIFS(Diário!$B$5:$B$400,Diário!$H$5:$H$400,$A20))</f>
        <v>0</v>
      </c>
      <c r="D20" s="53" t="n">
        <f aca="false">IF($A20="","",SUMIFS('Histórico diário'!$E$5:$E$642,'Histórico diário'!$G$5:$G$642,$A20)+SUMIFS(Diário!$E$5:$E$400,Diário!$H$5:$H$400,$A20))</f>
        <v>0</v>
      </c>
      <c r="E20" s="53" t="n">
        <f aca="false">IF($A20="","",SUMIFS('Histórico diário'!$D$5:$D$642,'Histórico diário'!$G$5:$G$642,$A20)+SUMIFS(Diário!$D$5:$D$400,Diário!$H$5:$H$400,$A20))</f>
        <v>38669</v>
      </c>
      <c r="F20" s="53" t="n">
        <f aca="false">IF($A20="","",SUMIFS('Histórico diário'!$C$5:$C$642,'Histórico diário'!$G$5:$G$642,$A20)+SUMIFS(Diário!$C$5:$C$400,Diário!$H$5:$H$400,$A20))</f>
        <v>0</v>
      </c>
      <c r="G20" s="54" t="n">
        <f aca="false">IF(A20="","",SUM(C20:F20))</f>
        <v>38669</v>
      </c>
      <c r="H20" s="55" t="n">
        <f aca="false">IF($A20="","",C20*IFERROR(INDEX('Tarifas por mês'!$B$5:$B$25,MATCH($A20,'Tarifas por mês'!$A$5:$A$25,0)),Premissas!$C$4))</f>
        <v>0</v>
      </c>
      <c r="I20" s="55" t="n">
        <f aca="false">IF($A20="","",D20*IFERROR(INDEX('Tarifas por mês'!$C$5:$C$25,MATCH($A20,'Tarifas por mês'!$A$5:$A$25,0)),Premissas!$C$5))</f>
        <v>0</v>
      </c>
      <c r="J20" s="55" t="n">
        <f aca="false">IF($A20="","",E20*IFERROR(INDEX('Tarifas por mês'!$D$5:$D$25,MATCH($A20,'Tarifas por mês'!$A$5:$A$25,0)),Premissas!$C$6))</f>
        <v>23201.4</v>
      </c>
      <c r="K20" s="55" t="n">
        <f aca="false">IF($A20="","",F20*IFERROR(INDEX('Tarifas por mês'!$E$5:$E$25,MATCH($A20,'Tarifas por mês'!$A$5:$A$25,0)),Premissas!$C$7))</f>
        <v>0</v>
      </c>
      <c r="L20" s="56" t="n">
        <f aca="false">IF(A20="","",SUM(H20:K20))</f>
        <v>23201.4</v>
      </c>
      <c r="M20" s="57" t="n">
        <f aca="false">IF(A20="","",IF(G20=0,0,L20/G20))</f>
        <v>0.6</v>
      </c>
      <c r="N20" s="53" t="n">
        <f aca="false">IF(A20="","",IF(B20=0,0,G20/B20))</f>
        <v>1247.38709677419</v>
      </c>
      <c r="O20" s="53" t="n">
        <f aca="false">IF(A20="","",MAX(_xlfn.MAXIFS('Histórico diário'!$F$5:$F$642,'Histórico diário'!$G$5:$G$642,$A20),_xlfn.MAXIFS(Diário!$F$5:$F$400,Diário!$H$5:$H$400,$A20)))</f>
        <v>8227</v>
      </c>
      <c r="P20" s="58" t="n">
        <f aca="false">IF($A20="","",IF(O20=0,"",IF(_xlfn.MAXIFS('Histórico diário'!$F$5:$F$642,'Histórico diário'!$G$5:$G$642,$A20)&gt;=_xlfn.MAXIFS(Diário!$F$5:$F$400,Diário!$H$5:$H$400,$A20),SUMPRODUCT(MAX(('Histórico diário'!$G$5:$G$642=$A20)*('Histórico diário'!$F$5:$F$642=O20)*'Histórico diário'!$A$5:$A$642)),SUMPRODUCT(MAX((Diário!$H$5:$H$400=$A20)*(Diário!$F$5:$F$400=O20)*Diário!$A$5:$A$400)))))</f>
        <v>45849</v>
      </c>
      <c r="Q20" s="59" t="n">
        <f aca="false">IF(A20="","",IF(S20=0,"parcial",IF(L19=0,"n/d",L20/L19-1)))</f>
        <v>-0.505877993304199</v>
      </c>
      <c r="R20" s="59" t="str">
        <f aca="false">IF(A20="","","n/d")</f>
        <v>n/d</v>
      </c>
      <c r="S20" s="53" t="n">
        <f aca="false">IF(A20="","",IF(B20=DAY(EOMONTH(A20,0)),1,0))</f>
        <v>1</v>
      </c>
    </row>
    <row r="21" customFormat="false" ht="15" hidden="false" customHeight="false" outlineLevel="0" collapsed="false">
      <c r="A21" s="52" t="n">
        <f aca="false">IF(A20="","",IF(EDATE(A20,1)&gt;MAX(MAX('Histórico diário'!$A$5:$A$642),MAX(Diário!$A$5:$A$400)),"",EDATE(A20,1)))</f>
        <v>45870</v>
      </c>
      <c r="B21" s="53" t="n">
        <f aca="false">IF(A21="","",COUNTIFS('Histórico diário'!$G$5:$G$642,A21)+COUNTIFS(Diário!$H$5:$H$400,A21))</f>
        <v>31</v>
      </c>
      <c r="C21" s="53" t="n">
        <f aca="false">IF($A21="","",SUMIFS('Histórico diário'!$B$5:$B$642,'Histórico diário'!$G$5:$G$642,$A21)+SUMIFS(Diário!$B$5:$B$400,Diário!$H$5:$H$400,$A21))</f>
        <v>0</v>
      </c>
      <c r="D21" s="53" t="n">
        <f aca="false">IF($A21="","",SUMIFS('Histórico diário'!$E$5:$E$642,'Histórico diário'!$G$5:$G$642,$A21)+SUMIFS(Diário!$E$5:$E$400,Diário!$H$5:$H$400,$A21))</f>
        <v>0</v>
      </c>
      <c r="E21" s="53" t="n">
        <f aca="false">IF($A21="","",SUMIFS('Histórico diário'!$D$5:$D$642,'Histórico diário'!$G$5:$G$642,$A21)+SUMIFS(Diário!$D$5:$D$400,Diário!$H$5:$H$400,$A21))</f>
        <v>29419</v>
      </c>
      <c r="F21" s="53" t="n">
        <f aca="false">IF($A21="","",SUMIFS('Histórico diário'!$C$5:$C$642,'Histórico diário'!$G$5:$G$642,$A21)+SUMIFS(Diário!$C$5:$C$400,Diário!$H$5:$H$400,$A21))</f>
        <v>0</v>
      </c>
      <c r="G21" s="54" t="n">
        <f aca="false">IF(A21="","",SUM(C21:F21))</f>
        <v>29419</v>
      </c>
      <c r="H21" s="55" t="n">
        <f aca="false">IF($A21="","",C21*IFERROR(INDEX('Tarifas por mês'!$B$5:$B$25,MATCH($A21,'Tarifas por mês'!$A$5:$A$25,0)),Premissas!$C$4))</f>
        <v>0</v>
      </c>
      <c r="I21" s="55" t="n">
        <f aca="false">IF($A21="","",D21*IFERROR(INDEX('Tarifas por mês'!$C$5:$C$25,MATCH($A21,'Tarifas por mês'!$A$5:$A$25,0)),Premissas!$C$5))</f>
        <v>0</v>
      </c>
      <c r="J21" s="55" t="n">
        <f aca="false">IF($A21="","",E21*IFERROR(INDEX('Tarifas por mês'!$D$5:$D$25,MATCH($A21,'Tarifas por mês'!$A$5:$A$25,0)),Premissas!$C$6))</f>
        <v>17651.4</v>
      </c>
      <c r="K21" s="55" t="n">
        <f aca="false">IF($A21="","",F21*IFERROR(INDEX('Tarifas por mês'!$E$5:$E$25,MATCH($A21,'Tarifas por mês'!$A$5:$A$25,0)),Premissas!$C$7))</f>
        <v>0</v>
      </c>
      <c r="L21" s="56" t="n">
        <f aca="false">IF(A21="","",SUM(H21:K21))</f>
        <v>17651.4</v>
      </c>
      <c r="M21" s="57" t="n">
        <f aca="false">IF(A21="","",IF(G21=0,0,L21/G21))</f>
        <v>0.6</v>
      </c>
      <c r="N21" s="53" t="n">
        <f aca="false">IF(A21="","",IF(B21=0,0,G21/B21))</f>
        <v>949</v>
      </c>
      <c r="O21" s="53" t="n">
        <f aca="false">IF(A21="","",MAX(_xlfn.MAXIFS('Histórico diário'!$F$5:$F$642,'Histórico diário'!$G$5:$G$642,$A21),_xlfn.MAXIFS(Diário!$F$5:$F$400,Diário!$H$5:$H$400,$A21)))</f>
        <v>6765</v>
      </c>
      <c r="P21" s="58" t="n">
        <f aca="false">IF($A21="","",IF(O21=0,"",IF(_xlfn.MAXIFS('Histórico diário'!$F$5:$F$642,'Histórico diário'!$G$5:$G$642,$A21)&gt;=_xlfn.MAXIFS(Diário!$F$5:$F$400,Diário!$H$5:$H$400,$A21),SUMPRODUCT(MAX(('Histórico diário'!$G$5:$G$642=$A21)*('Histórico diário'!$F$5:$F$642=O21)*'Histórico diário'!$A$5:$A$642)),SUMPRODUCT(MAX((Diário!$H$5:$H$400=$A21)*(Diário!$F$5:$F$400=O21)*Diário!$A$5:$A$400)))))</f>
        <v>45881</v>
      </c>
      <c r="Q21" s="59" t="n">
        <f aca="false">IF(A21="","",IF(S21=0,"parcial",IF(L20=0,"n/d",L21/L20-1)))</f>
        <v>-0.239209702862758</v>
      </c>
      <c r="R21" s="59" t="str">
        <f aca="false">IF(A21="","","n/d")</f>
        <v>n/d</v>
      </c>
      <c r="S21" s="53" t="n">
        <f aca="false">IF(A21="","",IF(B21=DAY(EOMONTH(A21,0)),1,0))</f>
        <v>1</v>
      </c>
    </row>
    <row r="22" customFormat="false" ht="15" hidden="false" customHeight="false" outlineLevel="0" collapsed="false">
      <c r="A22" s="52" t="n">
        <f aca="false">IF(A21="","",IF(EDATE(A21,1)&gt;MAX(MAX('Histórico diário'!$A$5:$A$642),MAX(Diário!$A$5:$A$400)),"",EDATE(A21,1)))</f>
        <v>45901</v>
      </c>
      <c r="B22" s="53" t="n">
        <f aca="false">IF(A22="","",COUNTIFS('Histórico diário'!$G$5:$G$642,A22)+COUNTIFS(Diário!$H$5:$H$400,A22))</f>
        <v>30</v>
      </c>
      <c r="C22" s="53" t="n">
        <f aca="false">IF($A22="","",SUMIFS('Histórico diário'!$B$5:$B$642,'Histórico diário'!$G$5:$G$642,$A22)+SUMIFS(Diário!$B$5:$B$400,Diário!$H$5:$H$400,$A22))</f>
        <v>0</v>
      </c>
      <c r="D22" s="53" t="n">
        <f aca="false">IF($A22="","",SUMIFS('Histórico diário'!$E$5:$E$642,'Histórico diário'!$G$5:$G$642,$A22)+SUMIFS(Diário!$E$5:$E$400,Diário!$H$5:$H$400,$A22))</f>
        <v>15378</v>
      </c>
      <c r="E22" s="53" t="n">
        <f aca="false">IF($A22="","",SUMIFS('Histórico diário'!$D$5:$D$642,'Histórico diário'!$G$5:$G$642,$A22)+SUMIFS(Diário!$D$5:$D$400,Diário!$H$5:$H$400,$A22))</f>
        <v>44500</v>
      </c>
      <c r="F22" s="53" t="n">
        <f aca="false">IF($A22="","",SUMIFS('Histórico diário'!$C$5:$C$642,'Histórico diário'!$G$5:$G$642,$A22)+SUMIFS(Diário!$C$5:$C$400,Diário!$H$5:$H$400,$A22))</f>
        <v>0</v>
      </c>
      <c r="G22" s="54" t="n">
        <f aca="false">IF(A22="","",SUM(C22:F22))</f>
        <v>59878</v>
      </c>
      <c r="H22" s="55" t="n">
        <f aca="false">IF($A22="","",C22*IFERROR(INDEX('Tarifas por mês'!$B$5:$B$25,MATCH($A22,'Tarifas por mês'!$A$5:$A$25,0)),Premissas!$C$4))</f>
        <v>0</v>
      </c>
      <c r="I22" s="55" t="n">
        <f aca="false">IF($A22="","",D22*IFERROR(INDEX('Tarifas por mês'!$C$5:$C$25,MATCH($A22,'Tarifas por mês'!$A$5:$A$25,0)),Premissas!$C$5))</f>
        <v>8304.12</v>
      </c>
      <c r="J22" s="55" t="n">
        <f aca="false">IF($A22="","",E22*IFERROR(INDEX('Tarifas por mês'!$D$5:$D$25,MATCH($A22,'Tarifas por mês'!$A$5:$A$25,0)),Premissas!$C$6))</f>
        <v>26700</v>
      </c>
      <c r="K22" s="55" t="n">
        <f aca="false">IF($A22="","",F22*IFERROR(INDEX('Tarifas por mês'!$E$5:$E$25,MATCH($A22,'Tarifas por mês'!$A$5:$A$25,0)),Premissas!$C$7))</f>
        <v>0</v>
      </c>
      <c r="L22" s="56" t="n">
        <f aca="false">IF(A22="","",SUM(H22:K22))</f>
        <v>35004.12</v>
      </c>
      <c r="M22" s="57" t="n">
        <f aca="false">IF(A22="","",IF(G22=0,0,L22/G22))</f>
        <v>0.584590667690972</v>
      </c>
      <c r="N22" s="53" t="n">
        <f aca="false">IF(A22="","",IF(B22=0,0,G22/B22))</f>
        <v>1995.93333333333</v>
      </c>
      <c r="O22" s="53" t="n">
        <f aca="false">IF(A22="","",MAX(_xlfn.MAXIFS('Histórico diário'!$F$5:$F$642,'Histórico diário'!$G$5:$G$642,$A22),_xlfn.MAXIFS(Diário!$F$5:$F$400,Diário!$H$5:$H$400,$A22)))</f>
        <v>16385</v>
      </c>
      <c r="P22" s="58" t="n">
        <f aca="false">IF($A22="","",IF(O22=0,"",IF(_xlfn.MAXIFS('Histórico diário'!$F$5:$F$642,'Histórico diário'!$G$5:$G$642,$A22)&gt;=_xlfn.MAXIFS(Diário!$F$5:$F$400,Diário!$H$5:$H$400,$A22),SUMPRODUCT(MAX(('Histórico diário'!$G$5:$G$642=$A22)*('Histórico diário'!$F$5:$F$642=O22)*'Histórico diário'!$A$5:$A$642)),SUMPRODUCT(MAX((Diário!$H$5:$H$400=$A22)*(Diário!$F$5:$F$400=O22)*Diário!$A$5:$A$400)))))</f>
        <v>45919</v>
      </c>
      <c r="Q22" s="59" t="n">
        <f aca="false">IF(A22="","",IF(S22=0,"parcial",IF(L21=0,"n/d",L22/L21-1)))</f>
        <v>0.983078962575207</v>
      </c>
      <c r="R22" s="59" t="str">
        <f aca="false">IF(A22="","","n/d")</f>
        <v>n/d</v>
      </c>
      <c r="S22" s="53" t="n">
        <f aca="false">IF(A22="","",IF(B22=DAY(EOMONTH(A22,0)),1,0))</f>
        <v>1</v>
      </c>
    </row>
    <row r="23" customFormat="false" ht="15" hidden="false" customHeight="false" outlineLevel="0" collapsed="false">
      <c r="A23" s="52" t="n">
        <f aca="false">IF(A22="","",IF(EDATE(A22,1)&gt;MAX(MAX('Histórico diário'!$A$5:$A$642),MAX(Diário!$A$5:$A$400)),"",EDATE(A22,1)))</f>
        <v>45931</v>
      </c>
      <c r="B23" s="53" t="n">
        <f aca="false">IF(A23="","",COUNTIFS('Histórico diário'!$G$5:$G$642,A23)+COUNTIFS(Diário!$H$5:$H$400,A23))</f>
        <v>31</v>
      </c>
      <c r="C23" s="53" t="n">
        <f aca="false">IF($A23="","",SUMIFS('Histórico diário'!$B$5:$B$642,'Histórico diário'!$G$5:$G$642,$A23)+SUMIFS(Diário!$B$5:$B$400,Diário!$H$5:$H$400,$A23))</f>
        <v>0</v>
      </c>
      <c r="D23" s="53" t="n">
        <f aca="false">IF($A23="","",SUMIFS('Histórico diário'!$E$5:$E$642,'Histórico diário'!$G$5:$G$642,$A23)+SUMIFS(Diário!$E$5:$E$400,Diário!$H$5:$H$400,$A23))</f>
        <v>46321</v>
      </c>
      <c r="E23" s="53" t="n">
        <f aca="false">IF($A23="","",SUMIFS('Histórico diário'!$D$5:$D$642,'Histórico diário'!$G$5:$G$642,$A23)+SUMIFS(Diário!$D$5:$D$400,Diário!$H$5:$H$400,$A23))</f>
        <v>12</v>
      </c>
      <c r="F23" s="53" t="n">
        <f aca="false">IF($A23="","",SUMIFS('Histórico diário'!$C$5:$C$642,'Histórico diário'!$G$5:$G$642,$A23)+SUMIFS(Diário!$C$5:$C$400,Diário!$H$5:$H$400,$A23))</f>
        <v>0</v>
      </c>
      <c r="G23" s="54" t="n">
        <f aca="false">IF(A23="","",SUM(C23:F23))</f>
        <v>46333</v>
      </c>
      <c r="H23" s="55" t="n">
        <f aca="false">IF($A23="","",C23*IFERROR(INDEX('Tarifas por mês'!$B$5:$B$25,MATCH($A23,'Tarifas por mês'!$A$5:$A$25,0)),Premissas!$C$4))</f>
        <v>0</v>
      </c>
      <c r="I23" s="55" t="n">
        <f aca="false">IF($A23="","",D23*IFERROR(INDEX('Tarifas por mês'!$C$5:$C$25,MATCH($A23,'Tarifas por mês'!$A$5:$A$25,0)),Premissas!$C$5))</f>
        <v>25013.34</v>
      </c>
      <c r="J23" s="55" t="n">
        <f aca="false">IF($A23="","",E23*IFERROR(INDEX('Tarifas por mês'!$D$5:$D$25,MATCH($A23,'Tarifas por mês'!$A$5:$A$25,0)),Premissas!$C$6))</f>
        <v>7.2</v>
      </c>
      <c r="K23" s="55" t="n">
        <f aca="false">IF($A23="","",F23*IFERROR(INDEX('Tarifas por mês'!$E$5:$E$25,MATCH($A23,'Tarifas por mês'!$A$5:$A$25,0)),Premissas!$C$7))</f>
        <v>0</v>
      </c>
      <c r="L23" s="56" t="n">
        <f aca="false">IF(A23="","",SUM(H23:K23))</f>
        <v>25020.54</v>
      </c>
      <c r="M23" s="57" t="n">
        <f aca="false">IF(A23="","",IF(G23=0,0,L23/G23))</f>
        <v>0.540015539680142</v>
      </c>
      <c r="N23" s="53" t="n">
        <f aca="false">IF(A23="","",IF(B23=0,0,G23/B23))</f>
        <v>1494.61290322581</v>
      </c>
      <c r="O23" s="53" t="n">
        <f aca="false">IF(A23="","",MAX(_xlfn.MAXIFS('Histórico diário'!$F$5:$F$642,'Histórico diário'!$G$5:$G$642,$A23),_xlfn.MAXIFS(Diário!$F$5:$F$400,Diário!$H$5:$H$400,$A23)))</f>
        <v>13571</v>
      </c>
      <c r="P23" s="58" t="n">
        <f aca="false">IF($A23="","",IF(O23=0,"",IF(_xlfn.MAXIFS('Histórico diário'!$F$5:$F$642,'Histórico diário'!$G$5:$G$642,$A23)&gt;=_xlfn.MAXIFS(Diário!$F$5:$F$400,Diário!$H$5:$H$400,$A23),SUMPRODUCT(MAX(('Histórico diário'!$G$5:$G$642=$A23)*('Histórico diário'!$F$5:$F$642=O23)*'Histórico diário'!$A$5:$A$642)),SUMPRODUCT(MAX((Diário!$H$5:$H$400=$A23)*(Diário!$F$5:$F$400=O23)*Diário!$A$5:$A$400)))))</f>
        <v>45951</v>
      </c>
      <c r="Q23" s="59" t="n">
        <f aca="false">IF(A23="","",IF(S23=0,"parcial",IF(L22=0,"n/d",L23/L22-1)))</f>
        <v>-0.285211569380976</v>
      </c>
      <c r="R23" s="59" t="str">
        <f aca="false">IF(A23="","","n/d")</f>
        <v>n/d</v>
      </c>
      <c r="S23" s="53" t="n">
        <f aca="false">IF(A23="","",IF(B23=DAY(EOMONTH(A23,0)),1,0))</f>
        <v>1</v>
      </c>
    </row>
    <row r="24" customFormat="false" ht="15" hidden="false" customHeight="false" outlineLevel="0" collapsed="false">
      <c r="A24" s="52" t="n">
        <f aca="false">IF(A23="","",IF(EDATE(A23,1)&gt;MAX(MAX('Histórico diário'!$A$5:$A$642),MAX(Diário!$A$5:$A$400)),"",EDATE(A23,1)))</f>
        <v>45962</v>
      </c>
      <c r="B24" s="53" t="n">
        <f aca="false">IF(A24="","",COUNTIFS('Histórico diário'!$G$5:$G$642,A24)+COUNTIFS(Diário!$H$5:$H$400,A24))</f>
        <v>30</v>
      </c>
      <c r="C24" s="53" t="n">
        <f aca="false">IF($A24="","",SUMIFS('Histórico diário'!$B$5:$B$642,'Histórico diário'!$G$5:$G$642,$A24)+SUMIFS(Diário!$B$5:$B$400,Diário!$H$5:$H$400,$A24))</f>
        <v>0</v>
      </c>
      <c r="D24" s="53" t="n">
        <f aca="false">IF($A24="","",SUMIFS('Histórico diário'!$E$5:$E$642,'Histórico diário'!$G$5:$G$642,$A24)+SUMIFS(Diário!$E$5:$E$400,Diário!$H$5:$H$400,$A24))</f>
        <v>23489</v>
      </c>
      <c r="E24" s="53" t="n">
        <f aca="false">IF($A24="","",SUMIFS('Histórico diário'!$D$5:$D$642,'Histórico diário'!$G$5:$G$642,$A24)+SUMIFS(Diário!$D$5:$D$400,Diário!$H$5:$H$400,$A24))</f>
        <v>0</v>
      </c>
      <c r="F24" s="53" t="n">
        <f aca="false">IF($A24="","",SUMIFS('Histórico diário'!$C$5:$C$642,'Histórico diário'!$G$5:$G$642,$A24)+SUMIFS(Diário!$C$5:$C$400,Diário!$H$5:$H$400,$A24))</f>
        <v>0</v>
      </c>
      <c r="G24" s="54" t="n">
        <f aca="false">IF(A24="","",SUM(C24:F24))</f>
        <v>23489</v>
      </c>
      <c r="H24" s="55" t="n">
        <f aca="false">IF($A24="","",C24*IFERROR(INDEX('Tarifas por mês'!$B$5:$B$25,MATCH($A24,'Tarifas por mês'!$A$5:$A$25,0)),Premissas!$C$4))</f>
        <v>0</v>
      </c>
      <c r="I24" s="55" t="n">
        <f aca="false">IF($A24="","",D24*IFERROR(INDEX('Tarifas por mês'!$C$5:$C$25,MATCH($A24,'Tarifas por mês'!$A$5:$A$25,0)),Premissas!$C$5))</f>
        <v>12684.06</v>
      </c>
      <c r="J24" s="55" t="n">
        <f aca="false">IF($A24="","",E24*IFERROR(INDEX('Tarifas por mês'!$D$5:$D$25,MATCH($A24,'Tarifas por mês'!$A$5:$A$25,0)),Premissas!$C$6))</f>
        <v>0</v>
      </c>
      <c r="K24" s="55" t="n">
        <f aca="false">IF($A24="","",F24*IFERROR(INDEX('Tarifas por mês'!$E$5:$E$25,MATCH($A24,'Tarifas por mês'!$A$5:$A$25,0)),Premissas!$C$7))</f>
        <v>0</v>
      </c>
      <c r="L24" s="56" t="n">
        <f aca="false">IF(A24="","",SUM(H24:K24))</f>
        <v>12684.06</v>
      </c>
      <c r="M24" s="57" t="n">
        <f aca="false">IF(A24="","",IF(G24=0,0,L24/G24))</f>
        <v>0.54</v>
      </c>
      <c r="N24" s="53" t="n">
        <f aca="false">IF(A24="","",IF(B24=0,0,G24/B24))</f>
        <v>782.966666666667</v>
      </c>
      <c r="O24" s="53" t="n">
        <f aca="false">IF(A24="","",MAX(_xlfn.MAXIFS('Histórico diário'!$F$5:$F$642,'Histórico diário'!$G$5:$G$642,$A24),_xlfn.MAXIFS(Diário!$F$5:$F$400,Diário!$H$5:$H$400,$A24)))</f>
        <v>5613</v>
      </c>
      <c r="P24" s="58" t="n">
        <f aca="false">IF($A24="","",IF(O24=0,"",IF(_xlfn.MAXIFS('Histórico diário'!$F$5:$F$642,'Histórico diário'!$G$5:$G$642,$A24)&gt;=_xlfn.MAXIFS(Diário!$F$5:$F$400,Diário!$H$5:$H$400,$A24),SUMPRODUCT(MAX(('Histórico diário'!$G$5:$G$642=$A24)*('Histórico diário'!$F$5:$F$642=O24)*'Histórico diário'!$A$5:$A$642)),SUMPRODUCT(MAX((Diário!$H$5:$H$400=$A24)*(Diário!$F$5:$F$400=O24)*Diário!$A$5:$A$400)))))</f>
        <v>45988</v>
      </c>
      <c r="Q24" s="59" t="n">
        <f aca="false">IF(A24="","",IF(S24=0,"parcial",IF(L23=0,"n/d",L24/L23-1)))</f>
        <v>-0.493054106745898</v>
      </c>
      <c r="R24" s="59" t="str">
        <f aca="false">IF(A24="","","n/d")</f>
        <v>n/d</v>
      </c>
      <c r="S24" s="53" t="n">
        <f aca="false">IF(A24="","",IF(B24=DAY(EOMONTH(A24,0)),1,0))</f>
        <v>1</v>
      </c>
    </row>
    <row r="25" customFormat="false" ht="15" hidden="false" customHeight="false" outlineLevel="0" collapsed="false">
      <c r="A25" s="52" t="n">
        <f aca="false">IF(A24="","",IF(EDATE(A24,1)&gt;MAX(MAX('Histórico diário'!$A$5:$A$642),MAX(Diário!$A$5:$A$400)),"",EDATE(A24,1)))</f>
        <v>45992</v>
      </c>
      <c r="B25" s="53" t="n">
        <f aca="false">IF(A25="","",COUNTIFS('Histórico diário'!$G$5:$G$642,A25)+COUNTIFS(Diário!$H$5:$H$400,A25))</f>
        <v>31</v>
      </c>
      <c r="C25" s="53" t="n">
        <f aca="false">IF($A25="","",SUMIFS('Histórico diário'!$B$5:$B$642,'Histórico diário'!$G$5:$G$642,$A25)+SUMIFS(Diário!$B$5:$B$400,Diário!$H$5:$H$400,$A25))</f>
        <v>0</v>
      </c>
      <c r="D25" s="53" t="n">
        <f aca="false">IF($A25="","",SUMIFS('Histórico diário'!$E$5:$E$642,'Histórico diário'!$G$5:$G$642,$A25)+SUMIFS(Diário!$E$5:$E$400,Diário!$H$5:$H$400,$A25))</f>
        <v>57386</v>
      </c>
      <c r="E25" s="53" t="n">
        <f aca="false">IF($A25="","",SUMIFS('Histórico diário'!$D$5:$D$642,'Histórico diário'!$G$5:$G$642,$A25)+SUMIFS(Diário!$D$5:$D$400,Diário!$H$5:$H$400,$A25))</f>
        <v>0</v>
      </c>
      <c r="F25" s="53" t="n">
        <f aca="false">IF($A25="","",SUMIFS('Histórico diário'!$C$5:$C$642,'Histórico diário'!$G$5:$G$642,$A25)+SUMIFS(Diário!$C$5:$C$400,Diário!$H$5:$H$400,$A25))</f>
        <v>0</v>
      </c>
      <c r="G25" s="54" t="n">
        <f aca="false">IF(A25="","",SUM(C25:F25))</f>
        <v>57386</v>
      </c>
      <c r="H25" s="55" t="n">
        <f aca="false">IF($A25="","",C25*IFERROR(INDEX('Tarifas por mês'!$B$5:$B$25,MATCH($A25,'Tarifas por mês'!$A$5:$A$25,0)),Premissas!$C$4))</f>
        <v>0</v>
      </c>
      <c r="I25" s="55" t="n">
        <f aca="false">IF($A25="","",D25*IFERROR(INDEX('Tarifas por mês'!$C$5:$C$25,MATCH($A25,'Tarifas por mês'!$A$5:$A$25,0)),Premissas!$C$5))</f>
        <v>30988.44</v>
      </c>
      <c r="J25" s="55" t="n">
        <f aca="false">IF($A25="","",E25*IFERROR(INDEX('Tarifas por mês'!$D$5:$D$25,MATCH($A25,'Tarifas por mês'!$A$5:$A$25,0)),Premissas!$C$6))</f>
        <v>0</v>
      </c>
      <c r="K25" s="55" t="n">
        <f aca="false">IF($A25="","",F25*IFERROR(INDEX('Tarifas por mês'!$E$5:$E$25,MATCH($A25,'Tarifas por mês'!$A$5:$A$25,0)),Premissas!$C$7))</f>
        <v>0</v>
      </c>
      <c r="L25" s="56" t="n">
        <f aca="false">IF(A25="","",SUM(H25:K25))</f>
        <v>30988.44</v>
      </c>
      <c r="M25" s="57" t="n">
        <f aca="false">IF(A25="","",IF(G25=0,0,L25/G25))</f>
        <v>0.54</v>
      </c>
      <c r="N25" s="53" t="n">
        <f aca="false">IF(A25="","",IF(B25=0,0,G25/B25))</f>
        <v>1851.16129032258</v>
      </c>
      <c r="O25" s="53" t="n">
        <f aca="false">IF(A25="","",MAX(_xlfn.MAXIFS('Histórico diário'!$F$5:$F$642,'Histórico diário'!$G$5:$G$642,$A25),_xlfn.MAXIFS(Diário!$F$5:$F$400,Diário!$H$5:$H$400,$A25)))</f>
        <v>17037</v>
      </c>
      <c r="P25" s="58" t="n">
        <f aca="false">IF($A25="","",IF(O25=0,"",IF(_xlfn.MAXIFS('Histórico diário'!$F$5:$F$642,'Histórico diário'!$G$5:$G$642,$A25)&gt;=_xlfn.MAXIFS(Diário!$F$5:$F$400,Diário!$H$5:$H$400,$A25),SUMPRODUCT(MAX(('Histórico diário'!$G$5:$G$642=$A25)*('Histórico diário'!$F$5:$F$642=O25)*'Histórico diário'!$A$5:$A$642)),SUMPRODUCT(MAX((Diário!$H$5:$H$400=$A25)*(Diário!$F$5:$F$400=O25)*Diário!$A$5:$A$400)))))</f>
        <v>46006</v>
      </c>
      <c r="Q25" s="59" t="n">
        <f aca="false">IF(A25="","",IF(S25=0,"parcial",IF(L24=0,"n/d",L25/L24-1)))</f>
        <v>1.44310102601218</v>
      </c>
      <c r="R25" s="59" t="str">
        <f aca="false">IF(A25="","","n/d")</f>
        <v>n/d</v>
      </c>
      <c r="S25" s="53" t="n">
        <f aca="false">IF(A25="","",IF(B25=DAY(EOMONTH(A25,0)),1,0))</f>
        <v>1</v>
      </c>
    </row>
    <row r="26" customFormat="false" ht="15" hidden="false" customHeight="false" outlineLevel="0" collapsed="false">
      <c r="A26" s="52" t="n">
        <f aca="false">IF(A25="","",IF(EDATE(A25,1)&gt;MAX(MAX('Histórico diário'!$A$5:$A$642),MAX(Diário!$A$5:$A$400)),"",EDATE(A25,1)))</f>
        <v>46023</v>
      </c>
      <c r="B26" s="53" t="n">
        <f aca="false">IF(A26="","",COUNTIFS('Histórico diário'!$G$5:$G$642,A26)+COUNTIFS(Diário!$H$5:$H$400,A26))</f>
        <v>31</v>
      </c>
      <c r="C26" s="53" t="n">
        <f aca="false">IF($A26="","",SUMIFS('Histórico diário'!$B$5:$B$642,'Histórico diário'!$G$5:$G$642,$A26)+SUMIFS(Diário!$B$5:$B$400,Diário!$H$5:$H$400,$A26))</f>
        <v>0</v>
      </c>
      <c r="D26" s="53" t="n">
        <f aca="false">IF($A26="","",SUMIFS('Histórico diário'!$E$5:$E$642,'Histórico diário'!$G$5:$G$642,$A26)+SUMIFS(Diário!$E$5:$E$400,Diário!$H$5:$H$400,$A26))</f>
        <v>69055</v>
      </c>
      <c r="E26" s="53" t="n">
        <f aca="false">IF($A26="","",SUMIFS('Histórico diário'!$D$5:$D$642,'Histórico diário'!$G$5:$G$642,$A26)+SUMIFS(Diário!$D$5:$D$400,Diário!$H$5:$H$400,$A26))</f>
        <v>0</v>
      </c>
      <c r="F26" s="53" t="n">
        <f aca="false">IF($A26="","",SUMIFS('Histórico diário'!$C$5:$C$642,'Histórico diário'!$G$5:$G$642,$A26)+SUMIFS(Diário!$C$5:$C$400,Diário!$H$5:$H$400,$A26))</f>
        <v>0</v>
      </c>
      <c r="G26" s="54" t="n">
        <f aca="false">IF(A26="","",SUM(C26:F26))</f>
        <v>69055</v>
      </c>
      <c r="H26" s="55" t="n">
        <f aca="false">IF($A26="","",C26*IFERROR(INDEX('Tarifas por mês'!$B$5:$B$25,MATCH($A26,'Tarifas por mês'!$A$5:$A$25,0)),Premissas!$C$4))</f>
        <v>0</v>
      </c>
      <c r="I26" s="55" t="n">
        <f aca="false">IF($A26="","",D26*IFERROR(INDEX('Tarifas por mês'!$C$5:$C$25,MATCH($A26,'Tarifas por mês'!$A$5:$A$25,0)),Premissas!$C$5))</f>
        <v>37289.7</v>
      </c>
      <c r="J26" s="55" t="n">
        <f aca="false">IF($A26="","",E26*IFERROR(INDEX('Tarifas por mês'!$D$5:$D$25,MATCH($A26,'Tarifas por mês'!$A$5:$A$25,0)),Premissas!$C$6))</f>
        <v>0</v>
      </c>
      <c r="K26" s="55" t="n">
        <f aca="false">IF($A26="","",F26*IFERROR(INDEX('Tarifas por mês'!$E$5:$E$25,MATCH($A26,'Tarifas por mês'!$A$5:$A$25,0)),Premissas!$C$7))</f>
        <v>0</v>
      </c>
      <c r="L26" s="56" t="n">
        <f aca="false">IF(A26="","",SUM(H26:K26))</f>
        <v>37289.7</v>
      </c>
      <c r="M26" s="57" t="n">
        <f aca="false">IF(A26="","",IF(G26=0,0,L26/G26))</f>
        <v>0.54</v>
      </c>
      <c r="N26" s="53" t="n">
        <f aca="false">IF(A26="","",IF(B26=0,0,G26/B26))</f>
        <v>2227.58064516129</v>
      </c>
      <c r="O26" s="53" t="n">
        <f aca="false">IF(A26="","",MAX(_xlfn.MAXIFS('Histórico diário'!$F$5:$F$642,'Histórico diário'!$G$5:$G$642,$A26),_xlfn.MAXIFS(Diário!$F$5:$F$400,Diário!$H$5:$H$400,$A26)))</f>
        <v>11699</v>
      </c>
      <c r="P26" s="58" t="n">
        <f aca="false">IF($A26="","",IF(O26=0,"",IF(_xlfn.MAXIFS('Histórico diário'!$F$5:$F$642,'Histórico diário'!$G$5:$G$642,$A26)&gt;=_xlfn.MAXIFS(Diário!$F$5:$F$400,Diário!$H$5:$H$400,$A26),SUMPRODUCT(MAX(('Histórico diário'!$G$5:$G$642=$A26)*('Histórico diário'!$F$5:$F$642=O26)*'Histórico diário'!$A$5:$A$642)),SUMPRODUCT(MAX((Diário!$H$5:$H$400=$A26)*(Diário!$F$5:$F$400=O26)*Diário!$A$5:$A$400)))))</f>
        <v>46048</v>
      </c>
      <c r="Q26" s="59" t="n">
        <f aca="false">IF(A26="","",IF(S26=0,"parcial",IF(L25=0,"n/d",L26/L25-1)))</f>
        <v>0.203342278604538</v>
      </c>
      <c r="R26" s="59" t="n">
        <f aca="false">IF(A26="","",IF(S26=0,"parcial",IF(L14=0,"n/d",L26/L14-1)))</f>
        <v>0.970685226876368</v>
      </c>
      <c r="S26" s="53" t="n">
        <f aca="false">IF(A26="","",IF(B26=DAY(EOMONTH(A26,0)),1,0))</f>
        <v>1</v>
      </c>
    </row>
    <row r="27" customFormat="false" ht="15" hidden="false" customHeight="false" outlineLevel="0" collapsed="false">
      <c r="A27" s="52" t="n">
        <f aca="false">IF(A26="","",IF(EDATE(A26,1)&gt;MAX(MAX('Histórico diário'!$A$5:$A$642),MAX(Diário!$A$5:$A$400)),"",EDATE(A26,1)))</f>
        <v>46054</v>
      </c>
      <c r="B27" s="53" t="n">
        <f aca="false">IF(A27="","",COUNTIFS('Histórico diário'!$G$5:$G$642,A27)+COUNTIFS(Diário!$H$5:$H$400,A27))</f>
        <v>28</v>
      </c>
      <c r="C27" s="53" t="n">
        <f aca="false">IF($A27="","",SUMIFS('Histórico diário'!$B$5:$B$642,'Histórico diário'!$G$5:$G$642,$A27)+SUMIFS(Diário!$B$5:$B$400,Diário!$H$5:$H$400,$A27))</f>
        <v>0</v>
      </c>
      <c r="D27" s="53" t="n">
        <f aca="false">IF($A27="","",SUMIFS('Histórico diário'!$E$5:$E$642,'Histórico diário'!$G$5:$G$642,$A27)+SUMIFS(Diário!$E$5:$E$400,Diário!$H$5:$H$400,$A27))</f>
        <v>88632</v>
      </c>
      <c r="E27" s="53" t="n">
        <f aca="false">IF($A27="","",SUMIFS('Histórico diário'!$D$5:$D$642,'Histórico diário'!$G$5:$G$642,$A27)+SUMIFS(Diário!$D$5:$D$400,Diário!$H$5:$H$400,$A27))</f>
        <v>0</v>
      </c>
      <c r="F27" s="53" t="n">
        <f aca="false">IF($A27="","",SUMIFS('Histórico diário'!$C$5:$C$642,'Histórico diário'!$G$5:$G$642,$A27)+SUMIFS(Diário!$C$5:$C$400,Diário!$H$5:$H$400,$A27))</f>
        <v>0</v>
      </c>
      <c r="G27" s="54" t="n">
        <f aca="false">IF(A27="","",SUM(C27:F27))</f>
        <v>88632</v>
      </c>
      <c r="H27" s="55" t="n">
        <f aca="false">IF($A27="","",C27*IFERROR(INDEX('Tarifas por mês'!$B$5:$B$25,MATCH($A27,'Tarifas por mês'!$A$5:$A$25,0)),Premissas!$C$4))</f>
        <v>0</v>
      </c>
      <c r="I27" s="55" t="n">
        <f aca="false">IF($A27="","",D27*IFERROR(INDEX('Tarifas por mês'!$C$5:$C$25,MATCH($A27,'Tarifas por mês'!$A$5:$A$25,0)),Premissas!$C$5))</f>
        <v>47861.28</v>
      </c>
      <c r="J27" s="55" t="n">
        <f aca="false">IF($A27="","",E27*IFERROR(INDEX('Tarifas por mês'!$D$5:$D$25,MATCH($A27,'Tarifas por mês'!$A$5:$A$25,0)),Premissas!$C$6))</f>
        <v>0</v>
      </c>
      <c r="K27" s="55" t="n">
        <f aca="false">IF($A27="","",F27*IFERROR(INDEX('Tarifas por mês'!$E$5:$E$25,MATCH($A27,'Tarifas por mês'!$A$5:$A$25,0)),Premissas!$C$7))</f>
        <v>0</v>
      </c>
      <c r="L27" s="56" t="n">
        <f aca="false">IF(A27="","",SUM(H27:K27))</f>
        <v>47861.28</v>
      </c>
      <c r="M27" s="57" t="n">
        <f aca="false">IF(A27="","",IF(G27=0,0,L27/G27))</f>
        <v>0.54</v>
      </c>
      <c r="N27" s="53" t="n">
        <f aca="false">IF(A27="","",IF(B27=0,0,G27/B27))</f>
        <v>3165.42857142857</v>
      </c>
      <c r="O27" s="53" t="n">
        <f aca="false">IF(A27="","",MAX(_xlfn.MAXIFS('Histórico diário'!$F$5:$F$642,'Histórico diário'!$G$5:$G$642,$A27),_xlfn.MAXIFS(Diário!$F$5:$F$400,Diário!$H$5:$H$400,$A27)))</f>
        <v>24866</v>
      </c>
      <c r="P27" s="58" t="n">
        <f aca="false">IF($A27="","",IF(O27=0,"",IF(_xlfn.MAXIFS('Histórico diário'!$F$5:$F$642,'Histórico diário'!$G$5:$G$642,$A27)&gt;=_xlfn.MAXIFS(Diário!$F$5:$F$400,Diário!$H$5:$H$400,$A27),SUMPRODUCT(MAX(('Histórico diário'!$G$5:$G$642=$A27)*('Histórico diário'!$F$5:$F$642=O27)*'Histórico diário'!$A$5:$A$642)),SUMPRODUCT(MAX((Diário!$H$5:$H$400=$A27)*(Diário!$F$5:$F$400=O27)*Diário!$A$5:$A$400)))))</f>
        <v>46056</v>
      </c>
      <c r="Q27" s="59" t="n">
        <f aca="false">IF(A27="","",IF(S27=0,"parcial",IF(L26=0,"n/d",L27/L26-1)))</f>
        <v>0.283498660488017</v>
      </c>
      <c r="R27" s="59" t="n">
        <f aca="false">IF(A27="","",IF(S27=0,"parcial",IF(L15=0,"n/d",L27/L15-1)))</f>
        <v>1.23241912011642</v>
      </c>
      <c r="S27" s="53" t="n">
        <f aca="false">IF(A27="","",IF(B27=DAY(EOMONTH(A27,0)),1,0))</f>
        <v>1</v>
      </c>
    </row>
    <row r="28" customFormat="false" ht="15" hidden="false" customHeight="false" outlineLevel="0" collapsed="false">
      <c r="A28" s="52" t="n">
        <f aca="false">IF(A27="","",IF(EDATE(A27,1)&gt;MAX(MAX('Histórico diário'!$A$5:$A$642),MAX(Diário!$A$5:$A$400)),"",EDATE(A27,1)))</f>
        <v>46082</v>
      </c>
      <c r="B28" s="53" t="n">
        <f aca="false">IF(A28="","",COUNTIFS('Histórico diário'!$G$5:$G$642,A28)+COUNTIFS(Diário!$H$5:$H$400,A28))</f>
        <v>31</v>
      </c>
      <c r="C28" s="53" t="n">
        <f aca="false">IF($A28="","",SUMIFS('Histórico diário'!$B$5:$B$642,'Histórico diário'!$G$5:$G$642,$A28)+SUMIFS(Diário!$B$5:$B$400,Diário!$H$5:$H$400,$A28))</f>
        <v>0</v>
      </c>
      <c r="D28" s="53" t="n">
        <f aca="false">IF($A28="","",SUMIFS('Histórico diário'!$E$5:$E$642,'Histórico diário'!$G$5:$G$642,$A28)+SUMIFS(Diário!$E$5:$E$400,Diário!$H$5:$H$400,$A28))</f>
        <v>29731</v>
      </c>
      <c r="E28" s="53" t="n">
        <f aca="false">IF($A28="","",SUMIFS('Histórico diário'!$D$5:$D$642,'Histórico diário'!$G$5:$G$642,$A28)+SUMIFS(Diário!$D$5:$D$400,Diário!$H$5:$H$400,$A28))</f>
        <v>0</v>
      </c>
      <c r="F28" s="53" t="n">
        <f aca="false">IF($A28="","",SUMIFS('Histórico diário'!$C$5:$C$642,'Histórico diário'!$G$5:$G$642,$A28)+SUMIFS(Diário!$C$5:$C$400,Diário!$H$5:$H$400,$A28))</f>
        <v>0</v>
      </c>
      <c r="G28" s="54" t="n">
        <f aca="false">IF(A28="","",SUM(C28:F28))</f>
        <v>29731</v>
      </c>
      <c r="H28" s="55" t="n">
        <f aca="false">IF($A28="","",C28*IFERROR(INDEX('Tarifas por mês'!$B$5:$B$25,MATCH($A28,'Tarifas por mês'!$A$5:$A$25,0)),Premissas!$C$4))</f>
        <v>0</v>
      </c>
      <c r="I28" s="55" t="n">
        <f aca="false">IF($A28="","",D28*IFERROR(INDEX('Tarifas por mês'!$C$5:$C$25,MATCH($A28,'Tarifas por mês'!$A$5:$A$25,0)),Premissas!$C$5))</f>
        <v>16054.74</v>
      </c>
      <c r="J28" s="55" t="n">
        <f aca="false">IF($A28="","",E28*IFERROR(INDEX('Tarifas por mês'!$D$5:$D$25,MATCH($A28,'Tarifas por mês'!$A$5:$A$25,0)),Premissas!$C$6))</f>
        <v>0</v>
      </c>
      <c r="K28" s="55" t="n">
        <f aca="false">IF($A28="","",F28*IFERROR(INDEX('Tarifas por mês'!$E$5:$E$25,MATCH($A28,'Tarifas por mês'!$A$5:$A$25,0)),Premissas!$C$7))</f>
        <v>0</v>
      </c>
      <c r="L28" s="56" t="n">
        <f aca="false">IF(A28="","",SUM(H28:K28))</f>
        <v>16054.74</v>
      </c>
      <c r="M28" s="57" t="n">
        <f aca="false">IF(A28="","",IF(G28=0,0,L28/G28))</f>
        <v>0.54</v>
      </c>
      <c r="N28" s="53" t="n">
        <f aca="false">IF(A28="","",IF(B28=0,0,G28/B28))</f>
        <v>959.064516129032</v>
      </c>
      <c r="O28" s="53" t="n">
        <f aca="false">IF(A28="","",MAX(_xlfn.MAXIFS('Histórico diário'!$F$5:$F$642,'Histórico diário'!$G$5:$G$642,$A28),_xlfn.MAXIFS(Diário!$F$5:$F$400,Diário!$H$5:$H$400,$A28)))</f>
        <v>7906</v>
      </c>
      <c r="P28" s="58" t="n">
        <f aca="false">IF($A28="","",IF(O28=0,"",IF(_xlfn.MAXIFS('Histórico diário'!$F$5:$F$642,'Histórico diário'!$G$5:$G$642,$A28)&gt;=_xlfn.MAXIFS(Diário!$F$5:$F$400,Diário!$H$5:$H$400,$A28),SUMPRODUCT(MAX(('Histórico diário'!$G$5:$G$642=$A28)*('Histórico diário'!$F$5:$F$642=O28)*'Histórico diário'!$A$5:$A$642)),SUMPRODUCT(MAX((Diário!$H$5:$H$400=$A28)*(Diário!$F$5:$F$400=O28)*Diário!$A$5:$A$400)))))</f>
        <v>46109</v>
      </c>
      <c r="Q28" s="59" t="n">
        <f aca="false">IF(A28="","",IF(S28=0,"parcial",IF(L27=0,"n/d",L28/L27-1)))</f>
        <v>-0.66455681920751</v>
      </c>
      <c r="R28" s="59" t="n">
        <f aca="false">IF(A28="","",IF(S28=0,"parcial",IF(L16=0,"n/d",L28/L16-1)))</f>
        <v>-0.529820769636268</v>
      </c>
      <c r="S28" s="53" t="n">
        <f aca="false">IF(A28="","",IF(B28=DAY(EOMONTH(A28,0)),1,0))</f>
        <v>1</v>
      </c>
    </row>
    <row r="29" customFormat="false" ht="15" hidden="false" customHeight="false" outlineLevel="0" collapsed="false">
      <c r="A29" s="52" t="n">
        <f aca="false">IF(A28="","",IF(EDATE(A28,1)&gt;MAX(MAX('Histórico diário'!$A$5:$A$642),MAX(Diário!$A$5:$A$400)),"",EDATE(A28,1)))</f>
        <v>46113</v>
      </c>
      <c r="B29" s="53" t="n">
        <f aca="false">IF(A29="","",COUNTIFS('Histórico diário'!$G$5:$G$642,A29)+COUNTIFS(Diário!$H$5:$H$400,A29))</f>
        <v>30</v>
      </c>
      <c r="C29" s="53" t="n">
        <f aca="false">IF($A29="","",SUMIFS('Histórico diário'!$B$5:$B$642,'Histórico diário'!$G$5:$G$642,$A29)+SUMIFS(Diário!$B$5:$B$400,Diário!$H$5:$H$400,$A29))</f>
        <v>0</v>
      </c>
      <c r="D29" s="53" t="n">
        <f aca="false">IF($A29="","",SUMIFS('Histórico diário'!$E$5:$E$642,'Histórico diário'!$G$5:$G$642,$A29)+SUMIFS(Diário!$E$5:$E$400,Diário!$H$5:$H$400,$A29))</f>
        <v>41008</v>
      </c>
      <c r="E29" s="53" t="n">
        <f aca="false">IF($A29="","",SUMIFS('Histórico diário'!$D$5:$D$642,'Histórico diário'!$G$5:$G$642,$A29)+SUMIFS(Diário!$D$5:$D$400,Diário!$H$5:$H$400,$A29))</f>
        <v>0</v>
      </c>
      <c r="F29" s="53" t="n">
        <f aca="false">IF($A29="","",SUMIFS('Histórico diário'!$C$5:$C$642,'Histórico diário'!$G$5:$G$642,$A29)+SUMIFS(Diário!$C$5:$C$400,Diário!$H$5:$H$400,$A29))</f>
        <v>0</v>
      </c>
      <c r="G29" s="54" t="n">
        <f aca="false">IF(A29="","",SUM(C29:F29))</f>
        <v>41008</v>
      </c>
      <c r="H29" s="55" t="n">
        <f aca="false">IF($A29="","",C29*IFERROR(INDEX('Tarifas por mês'!$B$5:$B$25,MATCH($A29,'Tarifas por mês'!$A$5:$A$25,0)),Premissas!$C$4))</f>
        <v>0</v>
      </c>
      <c r="I29" s="55" t="n">
        <f aca="false">IF($A29="","",D29*IFERROR(INDEX('Tarifas por mês'!$C$5:$C$25,MATCH($A29,'Tarifas por mês'!$A$5:$A$25,0)),Premissas!$C$5))</f>
        <v>22144.32</v>
      </c>
      <c r="J29" s="55" t="n">
        <f aca="false">IF($A29="","",E29*IFERROR(INDEX('Tarifas por mês'!$D$5:$D$25,MATCH($A29,'Tarifas por mês'!$A$5:$A$25,0)),Premissas!$C$6))</f>
        <v>0</v>
      </c>
      <c r="K29" s="55" t="n">
        <f aca="false">IF($A29="","",F29*IFERROR(INDEX('Tarifas por mês'!$E$5:$E$25,MATCH($A29,'Tarifas por mês'!$A$5:$A$25,0)),Premissas!$C$7))</f>
        <v>0</v>
      </c>
      <c r="L29" s="56" t="n">
        <f aca="false">IF(A29="","",SUM(H29:K29))</f>
        <v>22144.32</v>
      </c>
      <c r="M29" s="57" t="n">
        <f aca="false">IF(A29="","",IF(G29=0,0,L29/G29))</f>
        <v>0.54</v>
      </c>
      <c r="N29" s="53" t="n">
        <f aca="false">IF(A29="","",IF(B29=0,0,G29/B29))</f>
        <v>1366.93333333333</v>
      </c>
      <c r="O29" s="53" t="n">
        <f aca="false">IF(A29="","",MAX(_xlfn.MAXIFS('Histórico diário'!$F$5:$F$642,'Histórico diário'!$G$5:$G$642,$A29),_xlfn.MAXIFS(Diário!$F$5:$F$400,Diário!$H$5:$H$400,$A29)))</f>
        <v>13026</v>
      </c>
      <c r="P29" s="58" t="n">
        <f aca="false">IF($A29="","",IF(O29=0,"",IF(_xlfn.MAXIFS('Histórico diário'!$F$5:$F$642,'Histórico diário'!$G$5:$G$642,$A29)&gt;=_xlfn.MAXIFS(Diário!$F$5:$F$400,Diário!$H$5:$H$400,$A29),SUMPRODUCT(MAX(('Histórico diário'!$G$5:$G$642=$A29)*('Histórico diário'!$F$5:$F$642=O29)*'Histórico diário'!$A$5:$A$642)),SUMPRODUCT(MAX((Diário!$H$5:$H$400=$A29)*(Diário!$F$5:$F$400=O29)*Diário!$A$5:$A$400)))))</f>
        <v>46139</v>
      </c>
      <c r="Q29" s="59" t="n">
        <f aca="false">IF(A29="","",IF(S29=0,"parcial",IF(L28=0,"n/d",L29/L28-1)))</f>
        <v>0.37930106622717</v>
      </c>
      <c r="R29" s="59" t="n">
        <f aca="false">IF(A29="","",IF(S29=0,"parcial",IF(L17=0,"n/d",L29/L17-1)))</f>
        <v>-0.481334495067315</v>
      </c>
      <c r="S29" s="53" t="n">
        <f aca="false">IF(A29="","",IF(B29=DAY(EOMONTH(A29,0)),1,0))</f>
        <v>1</v>
      </c>
    </row>
    <row r="30" customFormat="false" ht="15" hidden="false" customHeight="false" outlineLevel="0" collapsed="false">
      <c r="A30" s="52" t="n">
        <f aca="false">IF(A29="","",IF(EDATE(A29,1)&gt;MAX(MAX('Histórico diário'!$A$5:$A$642),MAX(Diário!$A$5:$A$400)),"",EDATE(A29,1)))</f>
        <v>46143</v>
      </c>
      <c r="B30" s="53" t="n">
        <f aca="false">IF(A30="","",COUNTIFS('Histórico diário'!$G$5:$G$642,A30)+COUNTIFS(Diário!$H$5:$H$400,A30))</f>
        <v>31</v>
      </c>
      <c r="C30" s="53" t="n">
        <f aca="false">IF($A30="","",SUMIFS('Histórico diário'!$B$5:$B$642,'Histórico diário'!$G$5:$G$642,$A30)+SUMIFS(Diário!$B$5:$B$400,Diário!$H$5:$H$400,$A30))</f>
        <v>0</v>
      </c>
      <c r="D30" s="53" t="n">
        <f aca="false">IF($A30="","",SUMIFS('Histórico diário'!$E$5:$E$642,'Histórico diário'!$G$5:$G$642,$A30)+SUMIFS(Diário!$E$5:$E$400,Diário!$H$5:$H$400,$A30))</f>
        <v>140943</v>
      </c>
      <c r="E30" s="53" t="n">
        <f aca="false">IF($A30="","",SUMIFS('Histórico diário'!$D$5:$D$642,'Histórico diário'!$G$5:$G$642,$A30)+SUMIFS(Diário!$D$5:$D$400,Diário!$H$5:$H$400,$A30))</f>
        <v>0</v>
      </c>
      <c r="F30" s="53" t="n">
        <f aca="false">IF($A30="","",SUMIFS('Histórico diário'!$C$5:$C$642,'Histórico diário'!$G$5:$G$642,$A30)+SUMIFS(Diário!$C$5:$C$400,Diário!$H$5:$H$400,$A30))</f>
        <v>0</v>
      </c>
      <c r="G30" s="54" t="n">
        <f aca="false">IF(A30="","",SUM(C30:F30))</f>
        <v>140943</v>
      </c>
      <c r="H30" s="55" t="n">
        <f aca="false">IF($A30="","",C30*IFERROR(INDEX('Tarifas por mês'!$B$5:$B$25,MATCH($A30,'Tarifas por mês'!$A$5:$A$25,0)),Premissas!$C$4))</f>
        <v>0</v>
      </c>
      <c r="I30" s="55" t="n">
        <f aca="false">IF($A30="","",D30*IFERROR(INDEX('Tarifas por mês'!$C$5:$C$25,MATCH($A30,'Tarifas por mês'!$A$5:$A$25,0)),Premissas!$C$5))</f>
        <v>76109.22</v>
      </c>
      <c r="J30" s="55" t="n">
        <f aca="false">IF($A30="","",E30*IFERROR(INDEX('Tarifas por mês'!$D$5:$D$25,MATCH($A30,'Tarifas por mês'!$A$5:$A$25,0)),Premissas!$C$6))</f>
        <v>0</v>
      </c>
      <c r="K30" s="55" t="n">
        <f aca="false">IF($A30="","",F30*IFERROR(INDEX('Tarifas por mês'!$E$5:$E$25,MATCH($A30,'Tarifas por mês'!$A$5:$A$25,0)),Premissas!$C$7))</f>
        <v>0</v>
      </c>
      <c r="L30" s="56" t="n">
        <f aca="false">IF(A30="","",SUM(H30:K30))</f>
        <v>76109.22</v>
      </c>
      <c r="M30" s="57" t="n">
        <f aca="false">IF(A30="","",IF(G30=0,0,L30/G30))</f>
        <v>0.54</v>
      </c>
      <c r="N30" s="53" t="n">
        <f aca="false">IF(A30="","",IF(B30=0,0,G30/B30))</f>
        <v>4546.54838709678</v>
      </c>
      <c r="O30" s="53" t="n">
        <f aca="false">IF(A30="","",MAX(_xlfn.MAXIFS('Histórico diário'!$F$5:$F$642,'Histórico diário'!$G$5:$G$642,$A30),_xlfn.MAXIFS(Diário!$F$5:$F$400,Diário!$H$5:$H$400,$A30)))</f>
        <v>19399</v>
      </c>
      <c r="P30" s="58" t="n">
        <f aca="false">IF($A30="","",IF(O30=0,"",IF(_xlfn.MAXIFS('Histórico diário'!$F$5:$F$642,'Histórico diário'!$G$5:$G$642,$A30)&gt;=_xlfn.MAXIFS(Diário!$F$5:$F$400,Diário!$H$5:$H$400,$A30),SUMPRODUCT(MAX(('Histórico diário'!$G$5:$G$642=$A30)*('Histórico diário'!$F$5:$F$642=O30)*'Histórico diário'!$A$5:$A$642)),SUMPRODUCT(MAX((Diário!$H$5:$H$400=$A30)*(Diário!$F$5:$F$400=O30)*Diário!$A$5:$A$400)))))</f>
        <v>46172</v>
      </c>
      <c r="Q30" s="59" t="n">
        <f aca="false">IF(A30="","",IF(S30=0,"parcial",IF(L29=0,"n/d",L30/L29-1)))</f>
        <v>2.43696351931331</v>
      </c>
      <c r="R30" s="59" t="n">
        <f aca="false">IF(A30="","",IF(S30=0,"parcial",IF(L18=0,"n/d",L30/L18-1)))</f>
        <v>0.0878215902854007</v>
      </c>
      <c r="S30" s="53" t="n">
        <f aca="false">IF(A30="","",IF(B30=DAY(EOMONTH(A30,0)),1,0))</f>
        <v>1</v>
      </c>
    </row>
    <row r="31" customFormat="false" ht="15" hidden="false" customHeight="false" outlineLevel="0" collapsed="false">
      <c r="A31" s="52" t="n">
        <f aca="false">IF(A30="","",IF(EDATE(A30,1)&gt;MAX(MAX('Histórico diário'!$A$5:$A$642),MAX(Diário!$A$5:$A$400)),"",EDATE(A30,1)))</f>
        <v>46174</v>
      </c>
      <c r="B31" s="53" t="n">
        <f aca="false">IF(A31="","",COUNTIFS('Histórico diário'!$G$5:$G$642,A31)+COUNTIFS(Diário!$H$5:$H$400,A31))</f>
        <v>30</v>
      </c>
      <c r="C31" s="53" t="n">
        <f aca="false">IF($A31="","",SUMIFS('Histórico diário'!$B$5:$B$642,'Histórico diário'!$G$5:$G$642,$A31)+SUMIFS(Diário!$B$5:$B$400,Diário!$H$5:$H$400,$A31))</f>
        <v>0</v>
      </c>
      <c r="D31" s="53" t="n">
        <f aca="false">IF($A31="","",SUMIFS('Histórico diário'!$E$5:$E$642,'Histórico diário'!$G$5:$G$642,$A31)+SUMIFS(Diário!$E$5:$E$400,Diário!$H$5:$H$400,$A31))</f>
        <v>159281</v>
      </c>
      <c r="E31" s="53" t="n">
        <f aca="false">IF($A31="","",SUMIFS('Histórico diário'!$D$5:$D$642,'Histórico diário'!$G$5:$G$642,$A31)+SUMIFS(Diário!$D$5:$D$400,Diário!$H$5:$H$400,$A31))</f>
        <v>2198</v>
      </c>
      <c r="F31" s="53" t="n">
        <f aca="false">IF($A31="","",SUMIFS('Histórico diário'!$C$5:$C$642,'Histórico diário'!$G$5:$G$642,$A31)+SUMIFS(Diário!$C$5:$C$400,Diário!$H$5:$H$400,$A31))</f>
        <v>0</v>
      </c>
      <c r="G31" s="54" t="n">
        <f aca="false">IF(A31="","",SUM(C31:F31))</f>
        <v>161479</v>
      </c>
      <c r="H31" s="55" t="n">
        <f aca="false">IF($A31="","",C31*IFERROR(INDEX('Tarifas por mês'!$B$5:$B$25,MATCH($A31,'Tarifas por mês'!$A$5:$A$25,0)),Premissas!$C$4))</f>
        <v>0</v>
      </c>
      <c r="I31" s="55" t="n">
        <f aca="false">IF($A31="","",D31*IFERROR(INDEX('Tarifas por mês'!$C$5:$C$25,MATCH($A31,'Tarifas por mês'!$A$5:$A$25,0)),Premissas!$C$5))</f>
        <v>86011.74</v>
      </c>
      <c r="J31" s="55" t="n">
        <f aca="false">IF($A31="","",E31*IFERROR(INDEX('Tarifas por mês'!$D$5:$D$25,MATCH($A31,'Tarifas por mês'!$A$5:$A$25,0)),Premissas!$C$6))</f>
        <v>1318.8</v>
      </c>
      <c r="K31" s="55" t="n">
        <f aca="false">IF($A31="","",F31*IFERROR(INDEX('Tarifas por mês'!$E$5:$E$25,MATCH($A31,'Tarifas por mês'!$A$5:$A$25,0)),Premissas!$C$7))</f>
        <v>0</v>
      </c>
      <c r="L31" s="56" t="n">
        <f aca="false">IF(A31="","",SUM(H31:K31))</f>
        <v>87330.54</v>
      </c>
      <c r="M31" s="57" t="n">
        <f aca="false">IF(A31="","",IF(G31=0,0,L31/G31))</f>
        <v>0.540816700623611</v>
      </c>
      <c r="N31" s="53" t="n">
        <f aca="false">IF(A31="","",IF(B31=0,0,G31/B31))</f>
        <v>5382.63333333333</v>
      </c>
      <c r="O31" s="53" t="n">
        <f aca="false">IF(A31="","",MAX(_xlfn.MAXIFS('Histórico diário'!$F$5:$F$642,'Histórico diário'!$G$5:$G$642,$A31),_xlfn.MAXIFS(Diário!$F$5:$F$400,Diário!$H$5:$H$400,$A31)))</f>
        <v>19785</v>
      </c>
      <c r="P31" s="58" t="n">
        <f aca="false">IF($A31="","",IF(O31=0,"",IF(_xlfn.MAXIFS('Histórico diário'!$F$5:$F$642,'Histórico diário'!$G$5:$G$642,$A31)&gt;=_xlfn.MAXIFS(Diário!$F$5:$F$400,Diário!$H$5:$H$400,$A31),SUMPRODUCT(MAX(('Histórico diário'!$G$5:$G$642=$A31)*('Histórico diário'!$F$5:$F$642=O31)*'Histórico diário'!$A$5:$A$642)),SUMPRODUCT(MAX((Diário!$H$5:$H$400=$A31)*(Diário!$F$5:$F$400=O31)*Diário!$A$5:$A$400)))))</f>
        <v>46182</v>
      </c>
      <c r="Q31" s="59" t="n">
        <f aca="false">IF(A31="","",IF(S31=0,"parcial",IF(L30=0,"n/d",L31/L30-1)))</f>
        <v>0.147437064786632</v>
      </c>
      <c r="R31" s="59" t="n">
        <f aca="false">IF(A31="","",IF(S31=0,"parcial",IF(L19=0,"n/d",L31/L19-1)))</f>
        <v>0.859885251348105</v>
      </c>
      <c r="S31" s="53" t="n">
        <f aca="false">IF(A31="","",IF(B31=DAY(EOMONTH(A31,0)),1,0))</f>
        <v>1</v>
      </c>
    </row>
    <row r="32" customFormat="false" ht="15" hidden="false" customHeight="false" outlineLevel="0" collapsed="false">
      <c r="A32" s="52" t="n">
        <f aca="false">IF(A31="","",IF(EDATE(A31,1)&gt;MAX(MAX('Histórico diário'!$A$5:$A$642),MAX(Diário!$A$5:$A$400)),"",EDATE(A31,1)))</f>
        <v>46204</v>
      </c>
      <c r="B32" s="53" t="n">
        <f aca="false">IF(A32="","",COUNTIFS('Histórico diário'!$G$5:$G$642,A32)+COUNTIFS(Diário!$H$5:$H$400,A32))</f>
        <v>31</v>
      </c>
      <c r="C32" s="53" t="n">
        <f aca="false">IF($A32="","",SUMIFS('Histórico diário'!$B$5:$B$642,'Histórico diário'!$G$5:$G$642,$A32)+SUMIFS(Diário!$B$5:$B$400,Diário!$H$5:$H$400,$A32))</f>
        <v>0</v>
      </c>
      <c r="D32" s="53" t="n">
        <f aca="false">IF($A32="","",SUMIFS('Histórico diário'!$E$5:$E$642,'Histórico diário'!$G$5:$G$642,$A32)+SUMIFS(Diário!$E$5:$E$400,Diário!$H$5:$H$400,$A32))</f>
        <v>100511</v>
      </c>
      <c r="E32" s="53" t="n">
        <f aca="false">IF($A32="","",SUMIFS('Histórico diário'!$D$5:$D$642,'Histórico diário'!$G$5:$G$642,$A32)+SUMIFS(Diário!$D$5:$D$400,Diário!$H$5:$H$400,$A32))</f>
        <v>2</v>
      </c>
      <c r="F32" s="53" t="n">
        <f aca="false">IF($A32="","",SUMIFS('Histórico diário'!$C$5:$C$642,'Histórico diário'!$G$5:$G$642,$A32)+SUMIFS(Diário!$C$5:$C$400,Diário!$H$5:$H$400,$A32))</f>
        <v>0</v>
      </c>
      <c r="G32" s="54" t="n">
        <f aca="false">IF(A32="","",SUM(C32:F32))</f>
        <v>100513</v>
      </c>
      <c r="H32" s="55" t="n">
        <f aca="false">IF($A32="","",C32*IFERROR(INDEX('Tarifas por mês'!$B$5:$B$25,MATCH($A32,'Tarifas por mês'!$A$5:$A$25,0)),Premissas!$C$4))</f>
        <v>0</v>
      </c>
      <c r="I32" s="55" t="n">
        <f aca="false">IF($A32="","",D32*IFERROR(INDEX('Tarifas por mês'!$C$5:$C$25,MATCH($A32,'Tarifas por mês'!$A$5:$A$25,0)),Premissas!$C$5))</f>
        <v>54275.94</v>
      </c>
      <c r="J32" s="55" t="n">
        <f aca="false">IF($A32="","",E32*IFERROR(INDEX('Tarifas por mês'!$D$5:$D$25,MATCH($A32,'Tarifas por mês'!$A$5:$A$25,0)),Premissas!$C$6))</f>
        <v>1.2</v>
      </c>
      <c r="K32" s="55" t="n">
        <f aca="false">IF($A32="","",F32*IFERROR(INDEX('Tarifas por mês'!$E$5:$E$25,MATCH($A32,'Tarifas por mês'!$A$5:$A$25,0)),Premissas!$C$7))</f>
        <v>0</v>
      </c>
      <c r="L32" s="56" t="n">
        <f aca="false">IF(A32="","",SUM(H32:K32))</f>
        <v>54277.14</v>
      </c>
      <c r="M32" s="57" t="n">
        <f aca="false">IF(A32="","",IF(G32=0,0,L32/G32))</f>
        <v>0.540001193875419</v>
      </c>
      <c r="N32" s="53" t="n">
        <f aca="false">IF(A32="","",IF(B32=0,0,G32/B32))</f>
        <v>3242.35483870968</v>
      </c>
      <c r="O32" s="53" t="n">
        <f aca="false">IF(A32="","",MAX(_xlfn.MAXIFS('Histórico diário'!$F$5:$F$642,'Histórico diário'!$G$5:$G$642,$A32),_xlfn.MAXIFS(Diário!$F$5:$F$400,Diário!$H$5:$H$400,$A32)))</f>
        <v>30896</v>
      </c>
      <c r="P32" s="58" t="n">
        <f aca="false">IF($A32="","",IF(O32=0,"",IF(_xlfn.MAXIFS('Histórico diário'!$F$5:$F$642,'Histórico diário'!$G$5:$G$642,$A32)&gt;=_xlfn.MAXIFS(Diário!$F$5:$F$400,Diário!$H$5:$H$400,$A32),SUMPRODUCT(MAX(('Histórico diário'!$G$5:$G$642=$A32)*('Histórico diário'!$F$5:$F$642=O32)*'Histórico diário'!$A$5:$A$642)),SUMPRODUCT(MAX((Diário!$H$5:$H$400=$A32)*(Diário!$F$5:$F$400=O32)*Diário!$A$5:$A$400)))))</f>
        <v>46223</v>
      </c>
      <c r="Q32" s="59" t="n">
        <f aca="false">IF(A32="","",IF(S32=0,"parcial",IF(L31=0,"n/d",L32/L31-1)))</f>
        <v>-0.378486151579963</v>
      </c>
      <c r="R32" s="59" t="n">
        <f aca="false">IF(A32="","",IF(S32=0,"parcial",IF(L20=0,"n/d",L32/L20-1)))</f>
        <v>1.33939072642168</v>
      </c>
      <c r="S32" s="53" t="n">
        <f aca="false">IF(A32="","",IF(B32=DAY(EOMONTH(A32,0)),1,0))</f>
        <v>1</v>
      </c>
    </row>
    <row r="33" customFormat="false" ht="15" hidden="false" customHeight="false" outlineLevel="0" collapsed="false">
      <c r="A33" s="52" t="n">
        <f aca="false">IF(A32="","",IF(EDATE(A32,1)&gt;MAX(MAX('Histórico diário'!$A$5:$A$642),MAX(Diário!$A$5:$A$400)),"",EDATE(A32,1)))</f>
        <v>46235</v>
      </c>
      <c r="B33" s="53" t="n">
        <f aca="false">IF(A33="","",COUNTIFS('Histórico diário'!$G$5:$G$642,A33)+COUNTIFS(Diário!$H$5:$H$400,A33))</f>
        <v>31</v>
      </c>
      <c r="C33" s="53" t="n">
        <f aca="false">IF($A33="","",SUMIFS('Histórico diário'!$B$5:$B$642,'Histórico diário'!$G$5:$G$642,$A33)+SUMIFS(Diário!$B$5:$B$400,Diário!$H$5:$H$400,$A33))</f>
        <v>0</v>
      </c>
      <c r="D33" s="53" t="n">
        <f aca="false">IF($A33="","",SUMIFS('Histórico diário'!$E$5:$E$642,'Histórico diário'!$G$5:$G$642,$A33)+SUMIFS(Diário!$E$5:$E$400,Diário!$H$5:$H$400,$A33))</f>
        <v>97970</v>
      </c>
      <c r="E33" s="53" t="n">
        <f aca="false">IF($A33="","",SUMIFS('Histórico diário'!$D$5:$D$642,'Histórico diário'!$G$5:$G$642,$A33)+SUMIFS(Diário!$D$5:$D$400,Diário!$H$5:$H$400,$A33))</f>
        <v>0</v>
      </c>
      <c r="F33" s="53" t="n">
        <f aca="false">IF($A33="","",SUMIFS('Histórico diário'!$C$5:$C$642,'Histórico diário'!$G$5:$G$642,$A33)+SUMIFS(Diário!$C$5:$C$400,Diário!$H$5:$H$400,$A33))</f>
        <v>0</v>
      </c>
      <c r="G33" s="54" t="n">
        <f aca="false">IF(A33="","",SUM(C33:F33))</f>
        <v>97970</v>
      </c>
      <c r="H33" s="55" t="n">
        <f aca="false">IF($A33="","",C33*IFERROR(INDEX('Tarifas por mês'!$B$5:$B$25,MATCH($A33,'Tarifas por mês'!$A$5:$A$25,0)),Premissas!$C$4))</f>
        <v>0</v>
      </c>
      <c r="I33" s="55" t="n">
        <f aca="false">IF($A33="","",D33*IFERROR(INDEX('Tarifas por mês'!$C$5:$C$25,MATCH($A33,'Tarifas por mês'!$A$5:$A$25,0)),Premissas!$C$5))</f>
        <v>52903.8</v>
      </c>
      <c r="J33" s="55" t="n">
        <f aca="false">IF($A33="","",E33*IFERROR(INDEX('Tarifas por mês'!$D$5:$D$25,MATCH($A33,'Tarifas por mês'!$A$5:$A$25,0)),Premissas!$C$6))</f>
        <v>0</v>
      </c>
      <c r="K33" s="55" t="n">
        <f aca="false">IF($A33="","",F33*IFERROR(INDEX('Tarifas por mês'!$E$5:$E$25,MATCH($A33,'Tarifas por mês'!$A$5:$A$25,0)),Premissas!$C$7))</f>
        <v>0</v>
      </c>
      <c r="L33" s="56" t="n">
        <f aca="false">IF(A33="","",SUM(H33:K33))</f>
        <v>52903.8</v>
      </c>
      <c r="M33" s="57" t="n">
        <f aca="false">IF(A33="","",IF(G33=0,0,L33/G33))</f>
        <v>0.54</v>
      </c>
      <c r="N33" s="53" t="n">
        <f aca="false">IF(A33="","",IF(B33=0,0,G33/B33))</f>
        <v>3160.32258064516</v>
      </c>
      <c r="O33" s="53" t="n">
        <f aca="false">IF(A33="","",MAX(_xlfn.MAXIFS('Histórico diário'!$F$5:$F$642,'Histórico diário'!$G$5:$G$642,$A33),_xlfn.MAXIFS(Diário!$F$5:$F$400,Diário!$H$5:$H$400,$A33)))</f>
        <v>23587</v>
      </c>
      <c r="P33" s="58" t="n">
        <f aca="false">IF($A33="","",IF(O33=0,"",IF(_xlfn.MAXIFS('Histórico diário'!$F$5:$F$642,'Histórico diário'!$G$5:$G$642,$A33)&gt;=_xlfn.MAXIFS(Diário!$F$5:$F$400,Diário!$H$5:$H$400,$A33),SUMPRODUCT(MAX(('Histórico diário'!$G$5:$G$642=$A33)*('Histórico diário'!$F$5:$F$642=O33)*'Histórico diário'!$A$5:$A$642)),SUMPRODUCT(MAX((Diário!$H$5:$H$400=$A33)*(Diário!$F$5:$F$400=O33)*Diário!$A$5:$A$400)))))</f>
        <v>46265</v>
      </c>
      <c r="Q33" s="59" t="n">
        <f aca="false">IF(A33="","",IF(S33=0,"parcial",IF(L32=0,"n/d",L33/L32-1)))</f>
        <v>-0.0253023648629975</v>
      </c>
      <c r="R33" s="59" t="n">
        <f aca="false">IF(A33="","",IF(S33=0,"parcial",IF(L21=0,"n/d",L33/L21-1)))</f>
        <v>1.99714470240321</v>
      </c>
      <c r="S33" s="53" t="n">
        <f aca="false">IF(A33="","",IF(B33=DAY(EOMONTH(A33,0)),1,0))</f>
        <v>1</v>
      </c>
    </row>
    <row r="34" customFormat="false" ht="15" hidden="false" customHeight="false" outlineLevel="0" collapsed="false">
      <c r="A34" s="52" t="n">
        <f aca="false">IF(A33="","",IF(EDATE(A33,1)&gt;MAX(MAX('Histórico diário'!$A$5:$A$642),MAX(Diário!$A$5:$A$400)),"",EDATE(A33,1)))</f>
        <v>46266</v>
      </c>
      <c r="B34" s="53" t="n">
        <f aca="false">IF(A34="","",COUNTIFS('Histórico diário'!$G$5:$G$642,A34)+COUNTIFS(Diário!$H$5:$H$400,A34))</f>
        <v>30</v>
      </c>
      <c r="C34" s="53" t="n">
        <f aca="false">IF($A34="","",SUMIFS('Histórico diário'!$B$5:$B$642,'Histórico diário'!$G$5:$G$642,$A34)+SUMIFS(Diário!$B$5:$B$400,Diário!$H$5:$H$400,$A34))</f>
        <v>170749</v>
      </c>
      <c r="D34" s="53" t="n">
        <f aca="false">IF($A34="","",SUMIFS('Histórico diário'!$E$5:$E$642,'Histórico diário'!$G$5:$G$642,$A34)+SUMIFS(Diário!$E$5:$E$400,Diário!$H$5:$H$400,$A34))</f>
        <v>69364</v>
      </c>
      <c r="E34" s="53" t="n">
        <f aca="false">IF($A34="","",SUMIFS('Histórico diário'!$D$5:$D$642,'Histórico diário'!$G$5:$G$642,$A34)+SUMIFS(Diário!$D$5:$D$400,Diário!$H$5:$H$400,$A34))</f>
        <v>0</v>
      </c>
      <c r="F34" s="53" t="n">
        <f aca="false">IF($A34="","",SUMIFS('Histórico diário'!$C$5:$C$642,'Histórico diário'!$G$5:$G$642,$A34)+SUMIFS(Diário!$C$5:$C$400,Diário!$H$5:$H$400,$A34))</f>
        <v>0</v>
      </c>
      <c r="G34" s="54" t="n">
        <f aca="false">IF(A34="","",SUM(C34:F34))</f>
        <v>240113</v>
      </c>
      <c r="H34" s="55" t="n">
        <f aca="false">IF($A34="","",C34*IFERROR(INDEX('Tarifas por mês'!$B$5:$B$25,MATCH($A34,'Tarifas por mês'!$A$5:$A$25,0)),Premissas!$C$4))</f>
        <v>15367.41</v>
      </c>
      <c r="I34" s="55" t="n">
        <f aca="false">IF($A34="","",D34*IFERROR(INDEX('Tarifas por mês'!$C$5:$C$25,MATCH($A34,'Tarifas por mês'!$A$5:$A$25,0)),Premissas!$C$5))</f>
        <v>37456.56</v>
      </c>
      <c r="J34" s="55" t="n">
        <f aca="false">IF($A34="","",E34*IFERROR(INDEX('Tarifas por mês'!$D$5:$D$25,MATCH($A34,'Tarifas por mês'!$A$5:$A$25,0)),Premissas!$C$6))</f>
        <v>0</v>
      </c>
      <c r="K34" s="55" t="n">
        <f aca="false">IF($A34="","",F34*IFERROR(INDEX('Tarifas por mês'!$E$5:$E$25,MATCH($A34,'Tarifas por mês'!$A$5:$A$25,0)),Premissas!$C$7))</f>
        <v>0</v>
      </c>
      <c r="L34" s="56" t="n">
        <f aca="false">IF(A34="","",SUM(H34:K34))</f>
        <v>52823.97</v>
      </c>
      <c r="M34" s="57" t="n">
        <f aca="false">IF(A34="","",IF(G34=0,0,L34/G34))</f>
        <v>0.219996293411852</v>
      </c>
      <c r="N34" s="53" t="n">
        <f aca="false">IF(A34="","",IF(B34=0,0,G34/B34))</f>
        <v>8003.76666666667</v>
      </c>
      <c r="O34" s="53" t="n">
        <f aca="false">IF(A34="","",MAX(_xlfn.MAXIFS('Histórico diário'!$F$5:$F$642,'Histórico diário'!$G$5:$G$642,$A34),_xlfn.MAXIFS(Diário!$F$5:$F$400,Diário!$H$5:$H$400,$A34)))</f>
        <v>30469</v>
      </c>
      <c r="P34" s="58" t="n">
        <f aca="false">IF($A34="","",IF(O34=0,"",IF(_xlfn.MAXIFS('Histórico diário'!$F$5:$F$642,'Histórico diário'!$G$5:$G$642,$A34)&gt;=_xlfn.MAXIFS(Diário!$F$5:$F$400,Diário!$H$5:$H$400,$A34),SUMPRODUCT(MAX(('Histórico diário'!$G$5:$G$642=$A34)*('Histórico diário'!$F$5:$F$642=O34)*'Histórico diário'!$A$5:$A$642)),SUMPRODUCT(MAX((Diário!$H$5:$H$400=$A34)*(Diário!$F$5:$F$400=O34)*Diário!$A$5:$A$400)))))</f>
        <v>46293</v>
      </c>
      <c r="Q34" s="59" t="n">
        <f aca="false">IF(A34="","",IF(S34=0,"parcial",IF(L33=0,"n/d",L34/L33-1)))</f>
        <v>-0.00150896532952272</v>
      </c>
      <c r="R34" s="59" t="n">
        <f aca="false">IF(A34="","",IF(S34=0,"parcial",IF(L22=0,"n/d",L34/L22-1)))</f>
        <v>0.509078645599432</v>
      </c>
      <c r="S34" s="53" t="n">
        <f aca="false">IF(A34="","",IF(B34=DAY(EOMONTH(A34,0)),1,0))</f>
        <v>1</v>
      </c>
    </row>
    <row r="35" customFormat="false" ht="15" hidden="false" customHeight="false" outlineLevel="0" collapsed="false">
      <c r="A35" s="52" t="n">
        <f aca="false">IF(A34="","",IF(EDATE(A34,1)&gt;MAX(MAX('Histórico diário'!$A$5:$A$642),MAX(Diário!$A$5:$A$400)),"",EDATE(A34,1)))</f>
        <v>46296</v>
      </c>
      <c r="B35" s="53" t="n">
        <f aca="false">IF(A35="","",COUNTIFS('Histórico diário'!$G$5:$G$642,A35)+COUNTIFS(Diário!$H$5:$H$400,A35))</f>
        <v>13</v>
      </c>
      <c r="C35" s="53" t="n">
        <f aca="false">IF($A35="","",SUMIFS('Histórico diário'!$B$5:$B$642,'Histórico diário'!$G$5:$G$642,$A35)+SUMIFS(Diário!$B$5:$B$400,Diário!$H$5:$H$400,$A35))</f>
        <v>160207</v>
      </c>
      <c r="D35" s="53" t="n">
        <f aca="false">IF($A35="","",SUMIFS('Histórico diário'!$E$5:$E$642,'Histórico diário'!$G$5:$G$642,$A35)+SUMIFS(Diário!$E$5:$E$400,Diário!$H$5:$H$400,$A35))</f>
        <v>10984</v>
      </c>
      <c r="E35" s="53" t="n">
        <f aca="false">IF($A35="","",SUMIFS('Histórico diário'!$D$5:$D$642,'Histórico diário'!$G$5:$G$642,$A35)+SUMIFS(Diário!$D$5:$D$400,Diário!$H$5:$H$400,$A35))</f>
        <v>0</v>
      </c>
      <c r="F35" s="53" t="n">
        <f aca="false">IF($A35="","",SUMIFS('Histórico diário'!$C$5:$C$642,'Histórico diário'!$G$5:$G$642,$A35)+SUMIFS(Diário!$C$5:$C$400,Diário!$H$5:$H$400,$A35))</f>
        <v>0</v>
      </c>
      <c r="G35" s="54" t="n">
        <f aca="false">IF(A35="","",SUM(C35:F35))</f>
        <v>171191</v>
      </c>
      <c r="H35" s="55" t="n">
        <f aca="false">IF($A35="","",C35*IFERROR(INDEX('Tarifas por mês'!$B$5:$B$25,MATCH($A35,'Tarifas por mês'!$A$5:$A$25,0)),Premissas!$C$4))</f>
        <v>14418.63</v>
      </c>
      <c r="I35" s="55" t="n">
        <f aca="false">IF($A35="","",D35*IFERROR(INDEX('Tarifas por mês'!$C$5:$C$25,MATCH($A35,'Tarifas por mês'!$A$5:$A$25,0)),Premissas!$C$5))</f>
        <v>5931.36</v>
      </c>
      <c r="J35" s="55" t="n">
        <f aca="false">IF($A35="","",E35*IFERROR(INDEX('Tarifas por mês'!$D$5:$D$25,MATCH($A35,'Tarifas por mês'!$A$5:$A$25,0)),Premissas!$C$6))</f>
        <v>0</v>
      </c>
      <c r="K35" s="55" t="n">
        <f aca="false">IF($A35="","",F35*IFERROR(INDEX('Tarifas por mês'!$E$5:$E$25,MATCH($A35,'Tarifas por mês'!$A$5:$A$25,0)),Premissas!$C$7))</f>
        <v>0</v>
      </c>
      <c r="L35" s="56" t="n">
        <f aca="false">IF(A35="","",SUM(H35:K35))</f>
        <v>20349.99</v>
      </c>
      <c r="M35" s="57" t="n">
        <f aca="false">IF(A35="","",IF(G35=0,0,L35/G35))</f>
        <v>0.118873013184104</v>
      </c>
      <c r="N35" s="53" t="n">
        <f aca="false">IF(A35="","",IF(B35=0,0,G35/B35))</f>
        <v>13168.5384615385</v>
      </c>
      <c r="O35" s="53" t="n">
        <f aca="false">IF(A35="","",MAX(_xlfn.MAXIFS('Histórico diário'!$F$5:$F$642,'Histórico diário'!$G$5:$G$642,$A35),_xlfn.MAXIFS(Diário!$F$5:$F$400,Diário!$H$5:$H$400,$A35)))</f>
        <v>36936</v>
      </c>
      <c r="P35" s="58" t="n">
        <f aca="false">IF($A35="","",IF(O35=0,"",IF(_xlfn.MAXIFS('Histórico diário'!$F$5:$F$642,'Histórico diário'!$G$5:$G$642,$A35)&gt;=_xlfn.MAXIFS(Diário!$F$5:$F$400,Diário!$H$5:$H$400,$A35),SUMPRODUCT(MAX(('Histórico diário'!$G$5:$G$642=$A35)*('Histórico diário'!$F$5:$F$642=O35)*'Histórico diário'!$A$5:$A$642)),SUMPRODUCT(MAX((Diário!$H$5:$H$400=$A35)*(Diário!$F$5:$F$400=O35)*Diário!$A$5:$A$400)))))</f>
        <v>46302</v>
      </c>
      <c r="Q35" s="59" t="str">
        <f aca="false">IF(A35="","",IF(S35=0,"parcial",IF(L34=0,"n/d",L35/L34-1)))</f>
        <v>parcial</v>
      </c>
      <c r="R35" s="59" t="str">
        <f aca="false">IF(A35="","",IF(S35=0,"parcial",IF(L23=0,"n/d",L35/L23-1)))</f>
        <v>parcial</v>
      </c>
      <c r="S35" s="53" t="n">
        <f aca="false">IF(A35="","",IF(B35=DAY(EOMONTH(A35,0)),1,0))</f>
        <v>0</v>
      </c>
    </row>
    <row r="36" customFormat="false" ht="15" hidden="false" customHeight="false" outlineLevel="0" collapsed="false">
      <c r="A36" s="52" t="str">
        <f aca="false">IF(A35="","",IF(EDATE(A35,1)&gt;MAX(MAX('Histórico diário'!$A$5:$A$642),MAX(Diário!$A$5:$A$400)),"",EDATE(A35,1)))</f>
        <v/>
      </c>
      <c r="B36" s="53" t="str">
        <f aca="false">IF(A36="","",COUNTIFS('Histórico diário'!$G$5:$G$642,A36)+COUNTIFS(Diário!$H$5:$H$400,A36))</f>
        <v/>
      </c>
      <c r="C36" s="53" t="str">
        <f aca="false">IF($A36="","",SUMIFS('Histórico diário'!$B$5:$B$642,'Histórico diário'!$G$5:$G$642,$A36)+SUMIFS(Diário!$B$5:$B$400,Diário!$H$5:$H$400,$A36))</f>
        <v/>
      </c>
      <c r="D36" s="53" t="str">
        <f aca="false">IF($A36="","",SUMIFS('Histórico diário'!$E$5:$E$642,'Histórico diário'!$G$5:$G$642,$A36)+SUMIFS(Diário!$E$5:$E$400,Diário!$H$5:$H$400,$A36))</f>
        <v/>
      </c>
      <c r="E36" s="53" t="str">
        <f aca="false">IF($A36="","",SUMIFS('Histórico diário'!$D$5:$D$642,'Histórico diário'!$G$5:$G$642,$A36)+SUMIFS(Diário!$D$5:$D$400,Diário!$H$5:$H$400,$A36))</f>
        <v/>
      </c>
      <c r="F36" s="53" t="str">
        <f aca="false">IF($A36="","",SUMIFS('Histórico diário'!$C$5:$C$642,'Histórico diário'!$G$5:$G$642,$A36)+SUMIFS(Diário!$C$5:$C$400,Diário!$H$5:$H$400,$A36))</f>
        <v/>
      </c>
      <c r="G36" s="54" t="str">
        <f aca="false">IF(A36="","",SUM(C36:F36))</f>
        <v/>
      </c>
      <c r="H36" s="55" t="str">
        <f aca="false">IF($A36="","",C36*IFERROR(INDEX('Tarifas por mês'!$B$5:$B$25,MATCH($A36,'Tarifas por mês'!$A$5:$A$25,0)),Premissas!$C$4))</f>
        <v/>
      </c>
      <c r="I36" s="55" t="str">
        <f aca="false">IF($A36="","",D36*IFERROR(INDEX('Tarifas por mês'!$C$5:$C$25,MATCH($A36,'Tarifas por mês'!$A$5:$A$25,0)),Premissas!$C$5))</f>
        <v/>
      </c>
      <c r="J36" s="55" t="str">
        <f aca="false">IF($A36="","",E36*IFERROR(INDEX('Tarifas por mês'!$D$5:$D$25,MATCH($A36,'Tarifas por mês'!$A$5:$A$25,0)),Premissas!$C$6))</f>
        <v/>
      </c>
      <c r="K36" s="55" t="str">
        <f aca="false">IF($A36="","",F36*IFERROR(INDEX('Tarifas por mês'!$E$5:$E$25,MATCH($A36,'Tarifas por mês'!$A$5:$A$25,0)),Premissas!$C$7))</f>
        <v/>
      </c>
      <c r="L36" s="56" t="str">
        <f aca="false">IF(A36="","",SUM(H36:K36))</f>
        <v/>
      </c>
      <c r="M36" s="57" t="str">
        <f aca="false">IF(A36="","",IF(G36=0,0,L36/G36))</f>
        <v/>
      </c>
      <c r="N36" s="53" t="str">
        <f aca="false">IF(A36="","",IF(B36=0,0,G36/B36))</f>
        <v/>
      </c>
      <c r="O36" s="53" t="str">
        <f aca="false">IF(A36="","",MAX(_xlfn.MAXIFS('Histórico diário'!$F$5:$F$642,'Histórico diário'!$G$5:$G$642,$A36),_xlfn.MAXIFS(Diário!$F$5:$F$400,Diário!$H$5:$H$400,$A36)))</f>
        <v/>
      </c>
      <c r="P36" s="58" t="str">
        <f aca="false">IF($A36="","",IF(O36=0,"",IF(_xlfn.MAXIFS('Histórico diário'!$F$5:$F$642,'Histórico diário'!$G$5:$G$642,$A36)&gt;=_xlfn.MAXIFS(Diário!$F$5:$F$400,Diário!$H$5:$H$400,$A36),SUMPRODUCT(MAX(('Histórico diário'!$G$5:$G$642=$A36)*('Histórico diário'!$F$5:$F$642=O36)*'Histórico diário'!$A$5:$A$642)),SUMPRODUCT(MAX((Diário!$H$5:$H$400=$A36)*(Diário!$F$5:$F$400=O36)*Diário!$A$5:$A$400)))))</f>
        <v/>
      </c>
      <c r="Q36" s="59" t="str">
        <f aca="false">IF(A36="","",IF(S36=0,"parcial",IF(L35=0,"n/d",L36/L35-1)))</f>
        <v/>
      </c>
      <c r="R36" s="59" t="str">
        <f aca="false">IF(A36="","",IF(S36=0,"parcial",IF(L24=0,"n/d",L36/L24-1)))</f>
        <v/>
      </c>
      <c r="S36" s="53" t="str">
        <f aca="false">IF(A36="","",IF(B36=DAY(EOMONTH(A36,0)),1,0))</f>
        <v/>
      </c>
    </row>
    <row r="37" customFormat="false" ht="15" hidden="false" customHeight="false" outlineLevel="0" collapsed="false">
      <c r="A37" s="52" t="str">
        <f aca="false">IF(A36="","",IF(EDATE(A36,1)&gt;MAX(MAX('Histórico diário'!$A$5:$A$642),MAX(Diário!$A$5:$A$400)),"",EDATE(A36,1)))</f>
        <v/>
      </c>
      <c r="B37" s="53" t="str">
        <f aca="false">IF(A37="","",COUNTIFS('Histórico diário'!$G$5:$G$642,A37)+COUNTIFS(Diário!$H$5:$H$400,A37))</f>
        <v/>
      </c>
      <c r="C37" s="53" t="str">
        <f aca="false">IF($A37="","",SUMIFS('Histórico diário'!$B$5:$B$642,'Histórico diário'!$G$5:$G$642,$A37)+SUMIFS(Diário!$B$5:$B$400,Diário!$H$5:$H$400,$A37))</f>
        <v/>
      </c>
      <c r="D37" s="53" t="str">
        <f aca="false">IF($A37="","",SUMIFS('Histórico diário'!$E$5:$E$642,'Histórico diário'!$G$5:$G$642,$A37)+SUMIFS(Diário!$E$5:$E$400,Diário!$H$5:$H$400,$A37))</f>
        <v/>
      </c>
      <c r="E37" s="53" t="str">
        <f aca="false">IF($A37="","",SUMIFS('Histórico diário'!$D$5:$D$642,'Histórico diário'!$G$5:$G$642,$A37)+SUMIFS(Diário!$D$5:$D$400,Diário!$H$5:$H$400,$A37))</f>
        <v/>
      </c>
      <c r="F37" s="53" t="str">
        <f aca="false">IF($A37="","",SUMIFS('Histórico diário'!$C$5:$C$642,'Histórico diário'!$G$5:$G$642,$A37)+SUMIFS(Diário!$C$5:$C$400,Diário!$H$5:$H$400,$A37))</f>
        <v/>
      </c>
      <c r="G37" s="54" t="str">
        <f aca="false">IF(A37="","",SUM(C37:F37))</f>
        <v/>
      </c>
      <c r="H37" s="55" t="str">
        <f aca="false">IF($A37="","",C37*IFERROR(INDEX('Tarifas por mês'!$B$5:$B$25,MATCH($A37,'Tarifas por mês'!$A$5:$A$25,0)),Premissas!$C$4))</f>
        <v/>
      </c>
      <c r="I37" s="55" t="str">
        <f aca="false">IF($A37="","",D37*IFERROR(INDEX('Tarifas por mês'!$C$5:$C$25,MATCH($A37,'Tarifas por mês'!$A$5:$A$25,0)),Premissas!$C$5))</f>
        <v/>
      </c>
      <c r="J37" s="55" t="str">
        <f aca="false">IF($A37="","",E37*IFERROR(INDEX('Tarifas por mês'!$D$5:$D$25,MATCH($A37,'Tarifas por mês'!$A$5:$A$25,0)),Premissas!$C$6))</f>
        <v/>
      </c>
      <c r="K37" s="55" t="str">
        <f aca="false">IF($A37="","",F37*IFERROR(INDEX('Tarifas por mês'!$E$5:$E$25,MATCH($A37,'Tarifas por mês'!$A$5:$A$25,0)),Premissas!$C$7))</f>
        <v/>
      </c>
      <c r="L37" s="56" t="str">
        <f aca="false">IF(A37="","",SUM(H37:K37))</f>
        <v/>
      </c>
      <c r="M37" s="57" t="str">
        <f aca="false">IF(A37="","",IF(G37=0,0,L37/G37))</f>
        <v/>
      </c>
      <c r="N37" s="53" t="str">
        <f aca="false">IF(A37="","",IF(B37=0,0,G37/B37))</f>
        <v/>
      </c>
      <c r="O37" s="53" t="str">
        <f aca="false">IF(A37="","",MAX(_xlfn.MAXIFS('Histórico diário'!$F$5:$F$642,'Histórico diário'!$G$5:$G$642,$A37),_xlfn.MAXIFS(Diário!$F$5:$F$400,Diário!$H$5:$H$400,$A37)))</f>
        <v/>
      </c>
      <c r="P37" s="58" t="str">
        <f aca="false">IF($A37="","",IF(O37=0,"",IF(_xlfn.MAXIFS('Histórico diário'!$F$5:$F$642,'Histórico diário'!$G$5:$G$642,$A37)&gt;=_xlfn.MAXIFS(Diário!$F$5:$F$400,Diário!$H$5:$H$400,$A37),SUMPRODUCT(MAX(('Histórico diário'!$G$5:$G$642=$A37)*('Histórico diário'!$F$5:$F$642=O37)*'Histórico diário'!$A$5:$A$642)),SUMPRODUCT(MAX((Diário!$H$5:$H$400=$A37)*(Diário!$F$5:$F$400=O37)*Diário!$A$5:$A$400)))))</f>
        <v/>
      </c>
      <c r="Q37" s="59" t="str">
        <f aca="false">IF(A37="","",IF(S37=0,"parcial",IF(L36=0,"n/d",L37/L36-1)))</f>
        <v/>
      </c>
      <c r="R37" s="59" t="str">
        <f aca="false">IF(A37="","",IF(S37=0,"parcial",IF(L25=0,"n/d",L37/L25-1)))</f>
        <v/>
      </c>
      <c r="S37" s="53" t="str">
        <f aca="false">IF(A37="","",IF(B37=DAY(EOMONTH(A37,0)),1,0))</f>
        <v/>
      </c>
    </row>
    <row r="38" customFormat="false" ht="15" hidden="false" customHeight="false" outlineLevel="0" collapsed="false">
      <c r="A38" s="52" t="str">
        <f aca="false">IF(A37="","",IF(EDATE(A37,1)&gt;MAX(MAX('Histórico diário'!$A$5:$A$642),MAX(Diário!$A$5:$A$400)),"",EDATE(A37,1)))</f>
        <v/>
      </c>
      <c r="B38" s="53" t="str">
        <f aca="false">IF(A38="","",COUNTIFS('Histórico diário'!$G$5:$G$642,A38)+COUNTIFS(Diário!$H$5:$H$400,A38))</f>
        <v/>
      </c>
      <c r="C38" s="53" t="str">
        <f aca="false">IF($A38="","",SUMIFS('Histórico diário'!$B$5:$B$642,'Histórico diário'!$G$5:$G$642,$A38)+SUMIFS(Diário!$B$5:$B$400,Diário!$H$5:$H$400,$A38))</f>
        <v/>
      </c>
      <c r="D38" s="53" t="str">
        <f aca="false">IF($A38="","",SUMIFS('Histórico diário'!$E$5:$E$642,'Histórico diário'!$G$5:$G$642,$A38)+SUMIFS(Diário!$E$5:$E$400,Diário!$H$5:$H$400,$A38))</f>
        <v/>
      </c>
      <c r="E38" s="53" t="str">
        <f aca="false">IF($A38="","",SUMIFS('Histórico diário'!$D$5:$D$642,'Histórico diário'!$G$5:$G$642,$A38)+SUMIFS(Diário!$D$5:$D$400,Diário!$H$5:$H$400,$A38))</f>
        <v/>
      </c>
      <c r="F38" s="53" t="str">
        <f aca="false">IF($A38="","",SUMIFS('Histórico diário'!$C$5:$C$642,'Histórico diário'!$G$5:$G$642,$A38)+SUMIFS(Diário!$C$5:$C$400,Diário!$H$5:$H$400,$A38))</f>
        <v/>
      </c>
      <c r="G38" s="54" t="str">
        <f aca="false">IF(A38="","",SUM(C38:F38))</f>
        <v/>
      </c>
      <c r="H38" s="55" t="str">
        <f aca="false">IF($A38="","",C38*IFERROR(INDEX('Tarifas por mês'!$B$5:$B$25,MATCH($A38,'Tarifas por mês'!$A$5:$A$25,0)),Premissas!$C$4))</f>
        <v/>
      </c>
      <c r="I38" s="55" t="str">
        <f aca="false">IF($A38="","",D38*IFERROR(INDEX('Tarifas por mês'!$C$5:$C$25,MATCH($A38,'Tarifas por mês'!$A$5:$A$25,0)),Premissas!$C$5))</f>
        <v/>
      </c>
      <c r="J38" s="55" t="str">
        <f aca="false">IF($A38="","",E38*IFERROR(INDEX('Tarifas por mês'!$D$5:$D$25,MATCH($A38,'Tarifas por mês'!$A$5:$A$25,0)),Premissas!$C$6))</f>
        <v/>
      </c>
      <c r="K38" s="55" t="str">
        <f aca="false">IF($A38="","",F38*IFERROR(INDEX('Tarifas por mês'!$E$5:$E$25,MATCH($A38,'Tarifas por mês'!$A$5:$A$25,0)),Premissas!$C$7))</f>
        <v/>
      </c>
      <c r="L38" s="56" t="str">
        <f aca="false">IF(A38="","",SUM(H38:K38))</f>
        <v/>
      </c>
      <c r="M38" s="57" t="str">
        <f aca="false">IF(A38="","",IF(G38=0,0,L38/G38))</f>
        <v/>
      </c>
      <c r="N38" s="53" t="str">
        <f aca="false">IF(A38="","",IF(B38=0,0,G38/B38))</f>
        <v/>
      </c>
      <c r="O38" s="53" t="str">
        <f aca="false">IF(A38="","",MAX(_xlfn.MAXIFS('Histórico diário'!$F$5:$F$642,'Histórico diário'!$G$5:$G$642,$A38),_xlfn.MAXIFS(Diário!$F$5:$F$400,Diário!$H$5:$H$400,$A38)))</f>
        <v/>
      </c>
      <c r="P38" s="58" t="str">
        <f aca="false">IF($A38="","",IF(O38=0,"",IF(_xlfn.MAXIFS('Histórico diário'!$F$5:$F$642,'Histórico diário'!$G$5:$G$642,$A38)&gt;=_xlfn.MAXIFS(Diário!$F$5:$F$400,Diário!$H$5:$H$400,$A38),SUMPRODUCT(MAX(('Histórico diário'!$G$5:$G$642=$A38)*('Histórico diário'!$F$5:$F$642=O38)*'Histórico diário'!$A$5:$A$642)),SUMPRODUCT(MAX((Diário!$H$5:$H$400=$A38)*(Diário!$F$5:$F$400=O38)*Diário!$A$5:$A$400)))))</f>
        <v/>
      </c>
      <c r="Q38" s="59" t="str">
        <f aca="false">IF(A38="","",IF(S38=0,"parcial",IF(L37=0,"n/d",L38/L37-1)))</f>
        <v/>
      </c>
      <c r="R38" s="59" t="str">
        <f aca="false">IF(A38="","",IF(S38=0,"parcial",IF(L26=0,"n/d",L38/L26-1)))</f>
        <v/>
      </c>
      <c r="S38" s="53" t="str">
        <f aca="false">IF(A38="","",IF(B38=DAY(EOMONTH(A38,0)),1,0))</f>
        <v/>
      </c>
    </row>
    <row r="39" customFormat="false" ht="15" hidden="false" customHeight="false" outlineLevel="0" collapsed="false">
      <c r="A39" s="52" t="str">
        <f aca="false">IF(A38="","",IF(EDATE(A38,1)&gt;MAX(MAX('Histórico diário'!$A$5:$A$642),MAX(Diário!$A$5:$A$400)),"",EDATE(A38,1)))</f>
        <v/>
      </c>
      <c r="B39" s="53" t="str">
        <f aca="false">IF(A39="","",COUNTIFS('Histórico diário'!$G$5:$G$642,A39)+COUNTIFS(Diário!$H$5:$H$400,A39))</f>
        <v/>
      </c>
      <c r="C39" s="53" t="str">
        <f aca="false">IF($A39="","",SUMIFS('Histórico diário'!$B$5:$B$642,'Histórico diário'!$G$5:$G$642,$A39)+SUMIFS(Diário!$B$5:$B$400,Diário!$H$5:$H$400,$A39))</f>
        <v/>
      </c>
      <c r="D39" s="53" t="str">
        <f aca="false">IF($A39="","",SUMIFS('Histórico diário'!$E$5:$E$642,'Histórico diário'!$G$5:$G$642,$A39)+SUMIFS(Diário!$E$5:$E$400,Diário!$H$5:$H$400,$A39))</f>
        <v/>
      </c>
      <c r="E39" s="53" t="str">
        <f aca="false">IF($A39="","",SUMIFS('Histórico diário'!$D$5:$D$642,'Histórico diário'!$G$5:$G$642,$A39)+SUMIFS(Diário!$D$5:$D$400,Diário!$H$5:$H$400,$A39))</f>
        <v/>
      </c>
      <c r="F39" s="53" t="str">
        <f aca="false">IF($A39="","",SUMIFS('Histórico diário'!$C$5:$C$642,'Histórico diário'!$G$5:$G$642,$A39)+SUMIFS(Diário!$C$5:$C$400,Diário!$H$5:$H$400,$A39))</f>
        <v/>
      </c>
      <c r="G39" s="54" t="str">
        <f aca="false">IF(A39="","",SUM(C39:F39))</f>
        <v/>
      </c>
      <c r="H39" s="55" t="str">
        <f aca="false">IF($A39="","",C39*IFERROR(INDEX('Tarifas por mês'!$B$5:$B$25,MATCH($A39,'Tarifas por mês'!$A$5:$A$25,0)),Premissas!$C$4))</f>
        <v/>
      </c>
      <c r="I39" s="55" t="str">
        <f aca="false">IF($A39="","",D39*IFERROR(INDEX('Tarifas por mês'!$C$5:$C$25,MATCH($A39,'Tarifas por mês'!$A$5:$A$25,0)),Premissas!$C$5))</f>
        <v/>
      </c>
      <c r="J39" s="55" t="str">
        <f aca="false">IF($A39="","",E39*IFERROR(INDEX('Tarifas por mês'!$D$5:$D$25,MATCH($A39,'Tarifas por mês'!$A$5:$A$25,0)),Premissas!$C$6))</f>
        <v/>
      </c>
      <c r="K39" s="55" t="str">
        <f aca="false">IF($A39="","",F39*IFERROR(INDEX('Tarifas por mês'!$E$5:$E$25,MATCH($A39,'Tarifas por mês'!$A$5:$A$25,0)),Premissas!$C$7))</f>
        <v/>
      </c>
      <c r="L39" s="56" t="str">
        <f aca="false">IF(A39="","",SUM(H39:K39))</f>
        <v/>
      </c>
      <c r="M39" s="57" t="str">
        <f aca="false">IF(A39="","",IF(G39=0,0,L39/G39))</f>
        <v/>
      </c>
      <c r="N39" s="53" t="str">
        <f aca="false">IF(A39="","",IF(B39=0,0,G39/B39))</f>
        <v/>
      </c>
      <c r="O39" s="53" t="str">
        <f aca="false">IF(A39="","",MAX(_xlfn.MAXIFS('Histórico diário'!$F$5:$F$642,'Histórico diário'!$G$5:$G$642,$A39),_xlfn.MAXIFS(Diário!$F$5:$F$400,Diário!$H$5:$H$400,$A39)))</f>
        <v/>
      </c>
      <c r="P39" s="58" t="str">
        <f aca="false">IF($A39="","",IF(O39=0,"",IF(_xlfn.MAXIFS('Histórico diário'!$F$5:$F$642,'Histórico diário'!$G$5:$G$642,$A39)&gt;=_xlfn.MAXIFS(Diário!$F$5:$F$400,Diário!$H$5:$H$400,$A39),SUMPRODUCT(MAX(('Histórico diário'!$G$5:$G$642=$A39)*('Histórico diário'!$F$5:$F$642=O39)*'Histórico diário'!$A$5:$A$642)),SUMPRODUCT(MAX((Diário!$H$5:$H$400=$A39)*(Diário!$F$5:$F$400=O39)*Diário!$A$5:$A$400)))))</f>
        <v/>
      </c>
      <c r="Q39" s="59" t="str">
        <f aca="false">IF(A39="","",IF(S39=0,"parcial",IF(L38=0,"n/d",L39/L38-1)))</f>
        <v/>
      </c>
      <c r="R39" s="59" t="str">
        <f aca="false">IF(A39="","",IF(S39=0,"parcial",IF(L27=0,"n/d",L39/L27-1)))</f>
        <v/>
      </c>
      <c r="S39" s="53" t="str">
        <f aca="false">IF(A39="","",IF(B39=DAY(EOMONTH(A39,0)),1,0))</f>
        <v/>
      </c>
    </row>
    <row r="40" customFormat="false" ht="15" hidden="false" customHeight="false" outlineLevel="0" collapsed="false">
      <c r="A40" s="52" t="str">
        <f aca="false">IF(A39="","",IF(EDATE(A39,1)&gt;MAX(MAX('Histórico diário'!$A$5:$A$642),MAX(Diário!$A$5:$A$400)),"",EDATE(A39,1)))</f>
        <v/>
      </c>
      <c r="B40" s="53" t="str">
        <f aca="false">IF(A40="","",COUNTIFS('Histórico diário'!$G$5:$G$642,A40)+COUNTIFS(Diário!$H$5:$H$400,A40))</f>
        <v/>
      </c>
      <c r="C40" s="53" t="str">
        <f aca="false">IF($A40="","",SUMIFS('Histórico diário'!$B$5:$B$642,'Histórico diário'!$G$5:$G$642,$A40)+SUMIFS(Diário!$B$5:$B$400,Diário!$H$5:$H$400,$A40))</f>
        <v/>
      </c>
      <c r="D40" s="53" t="str">
        <f aca="false">IF($A40="","",SUMIFS('Histórico diário'!$E$5:$E$642,'Histórico diário'!$G$5:$G$642,$A40)+SUMIFS(Diário!$E$5:$E$400,Diário!$H$5:$H$400,$A40))</f>
        <v/>
      </c>
      <c r="E40" s="53" t="str">
        <f aca="false">IF($A40="","",SUMIFS('Histórico diário'!$D$5:$D$642,'Histórico diário'!$G$5:$G$642,$A40)+SUMIFS(Diário!$D$5:$D$400,Diário!$H$5:$H$400,$A40))</f>
        <v/>
      </c>
      <c r="F40" s="53" t="str">
        <f aca="false">IF($A40="","",SUMIFS('Histórico diário'!$C$5:$C$642,'Histórico diário'!$G$5:$G$642,$A40)+SUMIFS(Diário!$C$5:$C$400,Diário!$H$5:$H$400,$A40))</f>
        <v/>
      </c>
      <c r="G40" s="54" t="str">
        <f aca="false">IF(A40="","",SUM(C40:F40))</f>
        <v/>
      </c>
      <c r="H40" s="55" t="str">
        <f aca="false">IF($A40="","",C40*IFERROR(INDEX('Tarifas por mês'!$B$5:$B$25,MATCH($A40,'Tarifas por mês'!$A$5:$A$25,0)),Premissas!$C$4))</f>
        <v/>
      </c>
      <c r="I40" s="55" t="str">
        <f aca="false">IF($A40="","",D40*IFERROR(INDEX('Tarifas por mês'!$C$5:$C$25,MATCH($A40,'Tarifas por mês'!$A$5:$A$25,0)),Premissas!$C$5))</f>
        <v/>
      </c>
      <c r="J40" s="55" t="str">
        <f aca="false">IF($A40="","",E40*IFERROR(INDEX('Tarifas por mês'!$D$5:$D$25,MATCH($A40,'Tarifas por mês'!$A$5:$A$25,0)),Premissas!$C$6))</f>
        <v/>
      </c>
      <c r="K40" s="55" t="str">
        <f aca="false">IF($A40="","",F40*IFERROR(INDEX('Tarifas por mês'!$E$5:$E$25,MATCH($A40,'Tarifas por mês'!$A$5:$A$25,0)),Premissas!$C$7))</f>
        <v/>
      </c>
      <c r="L40" s="56" t="str">
        <f aca="false">IF(A40="","",SUM(H40:K40))</f>
        <v/>
      </c>
      <c r="M40" s="57" t="str">
        <f aca="false">IF(A40="","",IF(G40=0,0,L40/G40))</f>
        <v/>
      </c>
      <c r="N40" s="53" t="str">
        <f aca="false">IF(A40="","",IF(B40=0,0,G40/B40))</f>
        <v/>
      </c>
      <c r="O40" s="53" t="str">
        <f aca="false">IF(A40="","",MAX(_xlfn.MAXIFS('Histórico diário'!$F$5:$F$642,'Histórico diário'!$G$5:$G$642,$A40),_xlfn.MAXIFS(Diário!$F$5:$F$400,Diário!$H$5:$H$400,$A40)))</f>
        <v/>
      </c>
      <c r="P40" s="58" t="str">
        <f aca="false">IF($A40="","",IF(O40=0,"",IF(_xlfn.MAXIFS('Histórico diário'!$F$5:$F$642,'Histórico diário'!$G$5:$G$642,$A40)&gt;=_xlfn.MAXIFS(Diário!$F$5:$F$400,Diário!$H$5:$H$400,$A40),SUMPRODUCT(MAX(('Histórico diário'!$G$5:$G$642=$A40)*('Histórico diário'!$F$5:$F$642=O40)*'Histórico diário'!$A$5:$A$642)),SUMPRODUCT(MAX((Diário!$H$5:$H$400=$A40)*(Diário!$F$5:$F$400=O40)*Diário!$A$5:$A$400)))))</f>
        <v/>
      </c>
      <c r="Q40" s="59" t="str">
        <f aca="false">IF(A40="","",IF(S40=0,"parcial",IF(L39=0,"n/d",L40/L39-1)))</f>
        <v/>
      </c>
      <c r="R40" s="59" t="str">
        <f aca="false">IF(A40="","",IF(S40=0,"parcial",IF(L28=0,"n/d",L40/L28-1)))</f>
        <v/>
      </c>
      <c r="S40" s="53" t="str">
        <f aca="false">IF(A40="","",IF(B40=DAY(EOMONTH(A40,0)),1,0))</f>
        <v/>
      </c>
    </row>
    <row r="41" customFormat="false" ht="15" hidden="false" customHeight="false" outlineLevel="0" collapsed="false">
      <c r="A41" s="52" t="str">
        <f aca="false">IF(A40="","",IF(EDATE(A40,1)&gt;MAX(MAX('Histórico diário'!$A$5:$A$642),MAX(Diário!$A$5:$A$400)),"",EDATE(A40,1)))</f>
        <v/>
      </c>
      <c r="B41" s="53" t="str">
        <f aca="false">IF(A41="","",COUNTIFS('Histórico diário'!$G$5:$G$642,A41)+COUNTIFS(Diário!$H$5:$H$400,A41))</f>
        <v/>
      </c>
      <c r="C41" s="53" t="str">
        <f aca="false">IF($A41="","",SUMIFS('Histórico diário'!$B$5:$B$642,'Histórico diário'!$G$5:$G$642,$A41)+SUMIFS(Diário!$B$5:$B$400,Diário!$H$5:$H$400,$A41))</f>
        <v/>
      </c>
      <c r="D41" s="53" t="str">
        <f aca="false">IF($A41="","",SUMIFS('Histórico diário'!$E$5:$E$642,'Histórico diário'!$G$5:$G$642,$A41)+SUMIFS(Diário!$E$5:$E$400,Diário!$H$5:$H$400,$A41))</f>
        <v/>
      </c>
      <c r="E41" s="53" t="str">
        <f aca="false">IF($A41="","",SUMIFS('Histórico diário'!$D$5:$D$642,'Histórico diário'!$G$5:$G$642,$A41)+SUMIFS(Diário!$D$5:$D$400,Diário!$H$5:$H$400,$A41))</f>
        <v/>
      </c>
      <c r="F41" s="53" t="str">
        <f aca="false">IF($A41="","",SUMIFS('Histórico diário'!$C$5:$C$642,'Histórico diário'!$G$5:$G$642,$A41)+SUMIFS(Diário!$C$5:$C$400,Diário!$H$5:$H$400,$A41))</f>
        <v/>
      </c>
      <c r="G41" s="54" t="str">
        <f aca="false">IF(A41="","",SUM(C41:F41))</f>
        <v/>
      </c>
      <c r="H41" s="55" t="str">
        <f aca="false">IF($A41="","",C41*IFERROR(INDEX('Tarifas por mês'!$B$5:$B$25,MATCH($A41,'Tarifas por mês'!$A$5:$A$25,0)),Premissas!$C$4))</f>
        <v/>
      </c>
      <c r="I41" s="55" t="str">
        <f aca="false">IF($A41="","",D41*IFERROR(INDEX('Tarifas por mês'!$C$5:$C$25,MATCH($A41,'Tarifas por mês'!$A$5:$A$25,0)),Premissas!$C$5))</f>
        <v/>
      </c>
      <c r="J41" s="55" t="str">
        <f aca="false">IF($A41="","",E41*IFERROR(INDEX('Tarifas por mês'!$D$5:$D$25,MATCH($A41,'Tarifas por mês'!$A$5:$A$25,0)),Premissas!$C$6))</f>
        <v/>
      </c>
      <c r="K41" s="55" t="str">
        <f aca="false">IF($A41="","",F41*IFERROR(INDEX('Tarifas por mês'!$E$5:$E$25,MATCH($A41,'Tarifas por mês'!$A$5:$A$25,0)),Premissas!$C$7))</f>
        <v/>
      </c>
      <c r="L41" s="56" t="str">
        <f aca="false">IF(A41="","",SUM(H41:K41))</f>
        <v/>
      </c>
      <c r="M41" s="57" t="str">
        <f aca="false">IF(A41="","",IF(G41=0,0,L41/G41))</f>
        <v/>
      </c>
      <c r="N41" s="53" t="str">
        <f aca="false">IF(A41="","",IF(B41=0,0,G41/B41))</f>
        <v/>
      </c>
      <c r="O41" s="53" t="str">
        <f aca="false">IF(A41="","",MAX(_xlfn.MAXIFS('Histórico diário'!$F$5:$F$642,'Histórico diário'!$G$5:$G$642,$A41),_xlfn.MAXIFS(Diário!$F$5:$F$400,Diário!$H$5:$H$400,$A41)))</f>
        <v/>
      </c>
      <c r="P41" s="58" t="str">
        <f aca="false">IF($A41="","",IF(O41=0,"",IF(_xlfn.MAXIFS('Histórico diário'!$F$5:$F$642,'Histórico diário'!$G$5:$G$642,$A41)&gt;=_xlfn.MAXIFS(Diário!$F$5:$F$400,Diário!$H$5:$H$400,$A41),SUMPRODUCT(MAX(('Histórico diário'!$G$5:$G$642=$A41)*('Histórico diário'!$F$5:$F$642=O41)*'Histórico diário'!$A$5:$A$642)),SUMPRODUCT(MAX((Diário!$H$5:$H$400=$A41)*(Diário!$F$5:$F$400=O41)*Diário!$A$5:$A$400)))))</f>
        <v/>
      </c>
      <c r="Q41" s="59" t="str">
        <f aca="false">IF(A41="","",IF(S41=0,"parcial",IF(L40=0,"n/d",L41/L40-1)))</f>
        <v/>
      </c>
      <c r="R41" s="59" t="str">
        <f aca="false">IF(A41="","",IF(S41=0,"parcial",IF(L29=0,"n/d",L41/L29-1)))</f>
        <v/>
      </c>
      <c r="S41" s="53" t="str">
        <f aca="false">IF(A41="","",IF(B41=DAY(EOMONTH(A41,0)),1,0))</f>
        <v/>
      </c>
    </row>
    <row r="42" customFormat="false" ht="15" hidden="false" customHeight="false" outlineLevel="0" collapsed="false">
      <c r="A42" s="52" t="str">
        <f aca="false">IF(A41="","",IF(EDATE(A41,1)&gt;MAX(MAX('Histórico diário'!$A$5:$A$642),MAX(Diário!$A$5:$A$400)),"",EDATE(A41,1)))</f>
        <v/>
      </c>
      <c r="B42" s="53" t="str">
        <f aca="false">IF(A42="","",COUNTIFS('Histórico diário'!$G$5:$G$642,A42)+COUNTIFS(Diário!$H$5:$H$400,A42))</f>
        <v/>
      </c>
      <c r="C42" s="53" t="str">
        <f aca="false">IF($A42="","",SUMIFS('Histórico diário'!$B$5:$B$642,'Histórico diário'!$G$5:$G$642,$A42)+SUMIFS(Diário!$B$5:$B$400,Diário!$H$5:$H$400,$A42))</f>
        <v/>
      </c>
      <c r="D42" s="53" t="str">
        <f aca="false">IF($A42="","",SUMIFS('Histórico diário'!$E$5:$E$642,'Histórico diário'!$G$5:$G$642,$A42)+SUMIFS(Diário!$E$5:$E$400,Diário!$H$5:$H$400,$A42))</f>
        <v/>
      </c>
      <c r="E42" s="53" t="str">
        <f aca="false">IF($A42="","",SUMIFS('Histórico diário'!$D$5:$D$642,'Histórico diário'!$G$5:$G$642,$A42)+SUMIFS(Diário!$D$5:$D$400,Diário!$H$5:$H$400,$A42))</f>
        <v/>
      </c>
      <c r="F42" s="53" t="str">
        <f aca="false">IF($A42="","",SUMIFS('Histórico diário'!$C$5:$C$642,'Histórico diário'!$G$5:$G$642,$A42)+SUMIFS(Diário!$C$5:$C$400,Diário!$H$5:$H$400,$A42))</f>
        <v/>
      </c>
      <c r="G42" s="54" t="str">
        <f aca="false">IF(A42="","",SUM(C42:F42))</f>
        <v/>
      </c>
      <c r="H42" s="55" t="str">
        <f aca="false">IF($A42="","",C42*IFERROR(INDEX('Tarifas por mês'!$B$5:$B$25,MATCH($A42,'Tarifas por mês'!$A$5:$A$25,0)),Premissas!$C$4))</f>
        <v/>
      </c>
      <c r="I42" s="55" t="str">
        <f aca="false">IF($A42="","",D42*IFERROR(INDEX('Tarifas por mês'!$C$5:$C$25,MATCH($A42,'Tarifas por mês'!$A$5:$A$25,0)),Premissas!$C$5))</f>
        <v/>
      </c>
      <c r="J42" s="55" t="str">
        <f aca="false">IF($A42="","",E42*IFERROR(INDEX('Tarifas por mês'!$D$5:$D$25,MATCH($A42,'Tarifas por mês'!$A$5:$A$25,0)),Premissas!$C$6))</f>
        <v/>
      </c>
      <c r="K42" s="55" t="str">
        <f aca="false">IF($A42="","",F42*IFERROR(INDEX('Tarifas por mês'!$E$5:$E$25,MATCH($A42,'Tarifas por mês'!$A$5:$A$25,0)),Premissas!$C$7))</f>
        <v/>
      </c>
      <c r="L42" s="56" t="str">
        <f aca="false">IF(A42="","",SUM(H42:K42))</f>
        <v/>
      </c>
      <c r="M42" s="57" t="str">
        <f aca="false">IF(A42="","",IF(G42=0,0,L42/G42))</f>
        <v/>
      </c>
      <c r="N42" s="53" t="str">
        <f aca="false">IF(A42="","",IF(B42=0,0,G42/B42))</f>
        <v/>
      </c>
      <c r="O42" s="53" t="str">
        <f aca="false">IF(A42="","",MAX(_xlfn.MAXIFS('Histórico diário'!$F$5:$F$642,'Histórico diário'!$G$5:$G$642,$A42),_xlfn.MAXIFS(Diário!$F$5:$F$400,Diário!$H$5:$H$400,$A42)))</f>
        <v/>
      </c>
      <c r="P42" s="58" t="str">
        <f aca="false">IF($A42="","",IF(O42=0,"",IF(_xlfn.MAXIFS('Histórico diário'!$F$5:$F$642,'Histórico diário'!$G$5:$G$642,$A42)&gt;=_xlfn.MAXIFS(Diário!$F$5:$F$400,Diário!$H$5:$H$400,$A42),SUMPRODUCT(MAX(('Histórico diário'!$G$5:$G$642=$A42)*('Histórico diário'!$F$5:$F$642=O42)*'Histórico diário'!$A$5:$A$642)),SUMPRODUCT(MAX((Diário!$H$5:$H$400=$A42)*(Diário!$F$5:$F$400=O42)*Diário!$A$5:$A$400)))))</f>
        <v/>
      </c>
      <c r="Q42" s="59" t="str">
        <f aca="false">IF(A42="","",IF(S42=0,"parcial",IF(L41=0,"n/d",L42/L41-1)))</f>
        <v/>
      </c>
      <c r="R42" s="59" t="str">
        <f aca="false">IF(A42="","",IF(S42=0,"parcial",IF(L30=0,"n/d",L42/L30-1)))</f>
        <v/>
      </c>
      <c r="S42" s="53" t="str">
        <f aca="false">IF(A42="","",IF(B42=DAY(EOMONTH(A42,0)),1,0))</f>
        <v/>
      </c>
    </row>
    <row r="43" customFormat="false" ht="15" hidden="false" customHeight="false" outlineLevel="0" collapsed="false">
      <c r="A43" s="52" t="str">
        <f aca="false">IF(A42="","",IF(EDATE(A42,1)&gt;MAX(MAX('Histórico diário'!$A$5:$A$642),MAX(Diário!$A$5:$A$400)),"",EDATE(A42,1)))</f>
        <v/>
      </c>
      <c r="B43" s="53" t="str">
        <f aca="false">IF(A43="","",COUNTIFS('Histórico diário'!$G$5:$G$642,A43)+COUNTIFS(Diário!$H$5:$H$400,A43))</f>
        <v/>
      </c>
      <c r="C43" s="53" t="str">
        <f aca="false">IF($A43="","",SUMIFS('Histórico diário'!$B$5:$B$642,'Histórico diário'!$G$5:$G$642,$A43)+SUMIFS(Diário!$B$5:$B$400,Diário!$H$5:$H$400,$A43))</f>
        <v/>
      </c>
      <c r="D43" s="53" t="str">
        <f aca="false">IF($A43="","",SUMIFS('Histórico diário'!$E$5:$E$642,'Histórico diário'!$G$5:$G$642,$A43)+SUMIFS(Diário!$E$5:$E$400,Diário!$H$5:$H$400,$A43))</f>
        <v/>
      </c>
      <c r="E43" s="53" t="str">
        <f aca="false">IF($A43="","",SUMIFS('Histórico diário'!$D$5:$D$642,'Histórico diário'!$G$5:$G$642,$A43)+SUMIFS(Diário!$D$5:$D$400,Diário!$H$5:$H$400,$A43))</f>
        <v/>
      </c>
      <c r="F43" s="53" t="str">
        <f aca="false">IF($A43="","",SUMIFS('Histórico diário'!$C$5:$C$642,'Histórico diário'!$G$5:$G$642,$A43)+SUMIFS(Diário!$C$5:$C$400,Diário!$H$5:$H$400,$A43))</f>
        <v/>
      </c>
      <c r="G43" s="54" t="str">
        <f aca="false">IF(A43="","",SUM(C43:F43))</f>
        <v/>
      </c>
      <c r="H43" s="55" t="str">
        <f aca="false">IF($A43="","",C43*IFERROR(INDEX('Tarifas por mês'!$B$5:$B$25,MATCH($A43,'Tarifas por mês'!$A$5:$A$25,0)),Premissas!$C$4))</f>
        <v/>
      </c>
      <c r="I43" s="55" t="str">
        <f aca="false">IF($A43="","",D43*IFERROR(INDEX('Tarifas por mês'!$C$5:$C$25,MATCH($A43,'Tarifas por mês'!$A$5:$A$25,0)),Premissas!$C$5))</f>
        <v/>
      </c>
      <c r="J43" s="55" t="str">
        <f aca="false">IF($A43="","",E43*IFERROR(INDEX('Tarifas por mês'!$D$5:$D$25,MATCH($A43,'Tarifas por mês'!$A$5:$A$25,0)),Premissas!$C$6))</f>
        <v/>
      </c>
      <c r="K43" s="55" t="str">
        <f aca="false">IF($A43="","",F43*IFERROR(INDEX('Tarifas por mês'!$E$5:$E$25,MATCH($A43,'Tarifas por mês'!$A$5:$A$25,0)),Premissas!$C$7))</f>
        <v/>
      </c>
      <c r="L43" s="56" t="str">
        <f aca="false">IF(A43="","",SUM(H43:K43))</f>
        <v/>
      </c>
      <c r="M43" s="57" t="str">
        <f aca="false">IF(A43="","",IF(G43=0,0,L43/G43))</f>
        <v/>
      </c>
      <c r="N43" s="53" t="str">
        <f aca="false">IF(A43="","",IF(B43=0,0,G43/B43))</f>
        <v/>
      </c>
      <c r="O43" s="53" t="str">
        <f aca="false">IF(A43="","",MAX(_xlfn.MAXIFS('Histórico diário'!$F$5:$F$642,'Histórico diário'!$G$5:$G$642,$A43),_xlfn.MAXIFS(Diário!$F$5:$F$400,Diário!$H$5:$H$400,$A43)))</f>
        <v/>
      </c>
      <c r="P43" s="58" t="str">
        <f aca="false">IF($A43="","",IF(O43=0,"",IF(_xlfn.MAXIFS('Histórico diário'!$F$5:$F$642,'Histórico diário'!$G$5:$G$642,$A43)&gt;=_xlfn.MAXIFS(Diário!$F$5:$F$400,Diário!$H$5:$H$400,$A43),SUMPRODUCT(MAX(('Histórico diário'!$G$5:$G$642=$A43)*('Histórico diário'!$F$5:$F$642=O43)*'Histórico diário'!$A$5:$A$642)),SUMPRODUCT(MAX((Diário!$H$5:$H$400=$A43)*(Diário!$F$5:$F$400=O43)*Diário!$A$5:$A$400)))))</f>
        <v/>
      </c>
      <c r="Q43" s="59" t="str">
        <f aca="false">IF(A43="","",IF(S43=0,"parcial",IF(L42=0,"n/d",L43/L42-1)))</f>
        <v/>
      </c>
      <c r="R43" s="59" t="str">
        <f aca="false">IF(A43="","",IF(S43=0,"parcial",IF(L31=0,"n/d",L43/L31-1)))</f>
        <v/>
      </c>
      <c r="S43" s="53" t="str">
        <f aca="false">IF(A43="","",IF(B43=DAY(EOMONTH(A43,0)),1,0))</f>
        <v/>
      </c>
    </row>
    <row r="44" customFormat="false" ht="15" hidden="false" customHeight="false" outlineLevel="0" collapsed="false">
      <c r="A44" s="52" t="str">
        <f aca="false">IF(A43="","",IF(EDATE(A43,1)&gt;MAX(MAX('Histórico diário'!$A$5:$A$642),MAX(Diário!$A$5:$A$400)),"",EDATE(A43,1)))</f>
        <v/>
      </c>
      <c r="B44" s="53" t="str">
        <f aca="false">IF(A44="","",COUNTIFS('Histórico diário'!$G$5:$G$642,A44)+COUNTIFS(Diário!$H$5:$H$400,A44))</f>
        <v/>
      </c>
      <c r="C44" s="53" t="str">
        <f aca="false">IF($A44="","",SUMIFS('Histórico diário'!$B$5:$B$642,'Histórico diário'!$G$5:$G$642,$A44)+SUMIFS(Diário!$B$5:$B$400,Diário!$H$5:$H$400,$A44))</f>
        <v/>
      </c>
      <c r="D44" s="53" t="str">
        <f aca="false">IF($A44="","",SUMIFS('Histórico diário'!$E$5:$E$642,'Histórico diário'!$G$5:$G$642,$A44)+SUMIFS(Diário!$E$5:$E$400,Diário!$H$5:$H$400,$A44))</f>
        <v/>
      </c>
      <c r="E44" s="53" t="str">
        <f aca="false">IF($A44="","",SUMIFS('Histórico diário'!$D$5:$D$642,'Histórico diário'!$G$5:$G$642,$A44)+SUMIFS(Diário!$D$5:$D$400,Diário!$H$5:$H$400,$A44))</f>
        <v/>
      </c>
      <c r="F44" s="53" t="str">
        <f aca="false">IF($A44="","",SUMIFS('Histórico diário'!$C$5:$C$642,'Histórico diário'!$G$5:$G$642,$A44)+SUMIFS(Diário!$C$5:$C$400,Diário!$H$5:$H$400,$A44))</f>
        <v/>
      </c>
      <c r="G44" s="54" t="str">
        <f aca="false">IF(A44="","",SUM(C44:F44))</f>
        <v/>
      </c>
      <c r="H44" s="55" t="str">
        <f aca="false">IF($A44="","",C44*IFERROR(INDEX('Tarifas por mês'!$B$5:$B$25,MATCH($A44,'Tarifas por mês'!$A$5:$A$25,0)),Premissas!$C$4))</f>
        <v/>
      </c>
      <c r="I44" s="55" t="str">
        <f aca="false">IF($A44="","",D44*IFERROR(INDEX('Tarifas por mês'!$C$5:$C$25,MATCH($A44,'Tarifas por mês'!$A$5:$A$25,0)),Premissas!$C$5))</f>
        <v/>
      </c>
      <c r="J44" s="55" t="str">
        <f aca="false">IF($A44="","",E44*IFERROR(INDEX('Tarifas por mês'!$D$5:$D$25,MATCH($A44,'Tarifas por mês'!$A$5:$A$25,0)),Premissas!$C$6))</f>
        <v/>
      </c>
      <c r="K44" s="55" t="str">
        <f aca="false">IF($A44="","",F44*IFERROR(INDEX('Tarifas por mês'!$E$5:$E$25,MATCH($A44,'Tarifas por mês'!$A$5:$A$25,0)),Premissas!$C$7))</f>
        <v/>
      </c>
      <c r="L44" s="56" t="str">
        <f aca="false">IF(A44="","",SUM(H44:K44))</f>
        <v/>
      </c>
      <c r="M44" s="57" t="str">
        <f aca="false">IF(A44="","",IF(G44=0,0,L44/G44))</f>
        <v/>
      </c>
      <c r="N44" s="53" t="str">
        <f aca="false">IF(A44="","",IF(B44=0,0,G44/B44))</f>
        <v/>
      </c>
      <c r="O44" s="53" t="str">
        <f aca="false">IF(A44="","",MAX(_xlfn.MAXIFS('Histórico diário'!$F$5:$F$642,'Histórico diário'!$G$5:$G$642,$A44),_xlfn.MAXIFS(Diário!$F$5:$F$400,Diário!$H$5:$H$400,$A44)))</f>
        <v/>
      </c>
      <c r="P44" s="58" t="str">
        <f aca="false">IF($A44="","",IF(O44=0,"",IF(_xlfn.MAXIFS('Histórico diário'!$F$5:$F$642,'Histórico diário'!$G$5:$G$642,$A44)&gt;=_xlfn.MAXIFS(Diário!$F$5:$F$400,Diário!$H$5:$H$400,$A44),SUMPRODUCT(MAX(('Histórico diário'!$G$5:$G$642=$A44)*('Histórico diário'!$F$5:$F$642=O44)*'Histórico diário'!$A$5:$A$642)),SUMPRODUCT(MAX((Diário!$H$5:$H$400=$A44)*(Diário!$F$5:$F$400=O44)*Diário!$A$5:$A$400)))))</f>
        <v/>
      </c>
      <c r="Q44" s="59" t="str">
        <f aca="false">IF(A44="","",IF(S44=0,"parcial",IF(L43=0,"n/d",L44/L43-1)))</f>
        <v/>
      </c>
      <c r="R44" s="59" t="str">
        <f aca="false">IF(A44="","",IF(S44=0,"parcial",IF(L32=0,"n/d",L44/L32-1)))</f>
        <v/>
      </c>
      <c r="S44" s="53" t="str">
        <f aca="false">IF(A44="","",IF(B44=DAY(EOMONTH(A44,0)),1,0))</f>
        <v/>
      </c>
    </row>
    <row r="45" customFormat="false" ht="15" hidden="false" customHeight="false" outlineLevel="0" collapsed="false">
      <c r="A45" s="52" t="str">
        <f aca="false">IF(A44="","",IF(EDATE(A44,1)&gt;MAX(MAX('Histórico diário'!$A$5:$A$642),MAX(Diário!$A$5:$A$400)),"",EDATE(A44,1)))</f>
        <v/>
      </c>
      <c r="B45" s="53" t="str">
        <f aca="false">IF(A45="","",COUNTIFS('Histórico diário'!$G$5:$G$642,A45)+COUNTIFS(Diário!$H$5:$H$400,A45))</f>
        <v/>
      </c>
      <c r="C45" s="53" t="str">
        <f aca="false">IF($A45="","",SUMIFS('Histórico diário'!$B$5:$B$642,'Histórico diário'!$G$5:$G$642,$A45)+SUMIFS(Diário!$B$5:$B$400,Diário!$H$5:$H$400,$A45))</f>
        <v/>
      </c>
      <c r="D45" s="53" t="str">
        <f aca="false">IF($A45="","",SUMIFS('Histórico diário'!$E$5:$E$642,'Histórico diário'!$G$5:$G$642,$A45)+SUMIFS(Diário!$E$5:$E$400,Diário!$H$5:$H$400,$A45))</f>
        <v/>
      </c>
      <c r="E45" s="53" t="str">
        <f aca="false">IF($A45="","",SUMIFS('Histórico diário'!$D$5:$D$642,'Histórico diário'!$G$5:$G$642,$A45)+SUMIFS(Diário!$D$5:$D$400,Diário!$H$5:$H$400,$A45))</f>
        <v/>
      </c>
      <c r="F45" s="53" t="str">
        <f aca="false">IF($A45="","",SUMIFS('Histórico diário'!$C$5:$C$642,'Histórico diário'!$G$5:$G$642,$A45)+SUMIFS(Diário!$C$5:$C$400,Diário!$H$5:$H$400,$A45))</f>
        <v/>
      </c>
      <c r="G45" s="54" t="str">
        <f aca="false">IF(A45="","",SUM(C45:F45))</f>
        <v/>
      </c>
      <c r="H45" s="55" t="str">
        <f aca="false">IF($A45="","",C45*IFERROR(INDEX('Tarifas por mês'!$B$5:$B$25,MATCH($A45,'Tarifas por mês'!$A$5:$A$25,0)),Premissas!$C$4))</f>
        <v/>
      </c>
      <c r="I45" s="55" t="str">
        <f aca="false">IF($A45="","",D45*IFERROR(INDEX('Tarifas por mês'!$C$5:$C$25,MATCH($A45,'Tarifas por mês'!$A$5:$A$25,0)),Premissas!$C$5))</f>
        <v/>
      </c>
      <c r="J45" s="55" t="str">
        <f aca="false">IF($A45="","",E45*IFERROR(INDEX('Tarifas por mês'!$D$5:$D$25,MATCH($A45,'Tarifas por mês'!$A$5:$A$25,0)),Premissas!$C$6))</f>
        <v/>
      </c>
      <c r="K45" s="55" t="str">
        <f aca="false">IF($A45="","",F45*IFERROR(INDEX('Tarifas por mês'!$E$5:$E$25,MATCH($A45,'Tarifas por mês'!$A$5:$A$25,0)),Premissas!$C$7))</f>
        <v/>
      </c>
      <c r="L45" s="56" t="str">
        <f aca="false">IF(A45="","",SUM(H45:K45))</f>
        <v/>
      </c>
      <c r="M45" s="57" t="str">
        <f aca="false">IF(A45="","",IF(G45=0,0,L45/G45))</f>
        <v/>
      </c>
      <c r="N45" s="53" t="str">
        <f aca="false">IF(A45="","",IF(B45=0,0,G45/B45))</f>
        <v/>
      </c>
      <c r="O45" s="53" t="str">
        <f aca="false">IF(A45="","",MAX(_xlfn.MAXIFS('Histórico diário'!$F$5:$F$642,'Histórico diário'!$G$5:$G$642,$A45),_xlfn.MAXIFS(Diário!$F$5:$F$400,Diário!$H$5:$H$400,$A45)))</f>
        <v/>
      </c>
      <c r="P45" s="58" t="str">
        <f aca="false">IF($A45="","",IF(O45=0,"",IF(_xlfn.MAXIFS('Histórico diário'!$F$5:$F$642,'Histórico diário'!$G$5:$G$642,$A45)&gt;=_xlfn.MAXIFS(Diário!$F$5:$F$400,Diário!$H$5:$H$400,$A45),SUMPRODUCT(MAX(('Histórico diário'!$G$5:$G$642=$A45)*('Histórico diário'!$F$5:$F$642=O45)*'Histórico diário'!$A$5:$A$642)),SUMPRODUCT(MAX((Diário!$H$5:$H$400=$A45)*(Diário!$F$5:$F$400=O45)*Diário!$A$5:$A$400)))))</f>
        <v/>
      </c>
      <c r="Q45" s="59" t="str">
        <f aca="false">IF(A45="","",IF(S45=0,"parcial",IF(L44=0,"n/d",L45/L44-1)))</f>
        <v/>
      </c>
      <c r="R45" s="59" t="str">
        <f aca="false">IF(A45="","",IF(S45=0,"parcial",IF(L33=0,"n/d",L45/L33-1)))</f>
        <v/>
      </c>
      <c r="S45" s="53" t="str">
        <f aca="false">IF(A45="","",IF(B45=DAY(EOMONTH(A45,0)),1,0))</f>
        <v/>
      </c>
    </row>
    <row r="46" customFormat="false" ht="15" hidden="false" customHeight="false" outlineLevel="0" collapsed="false">
      <c r="A46" s="52" t="str">
        <f aca="false">IF(A45="","",IF(EDATE(A45,1)&gt;MAX(MAX('Histórico diário'!$A$5:$A$642),MAX(Diário!$A$5:$A$400)),"",EDATE(A45,1)))</f>
        <v/>
      </c>
      <c r="B46" s="53" t="str">
        <f aca="false">IF(A46="","",COUNTIFS('Histórico diário'!$G$5:$G$642,A46)+COUNTIFS(Diário!$H$5:$H$400,A46))</f>
        <v/>
      </c>
      <c r="C46" s="53" t="str">
        <f aca="false">IF($A46="","",SUMIFS('Histórico diário'!$B$5:$B$642,'Histórico diário'!$G$5:$G$642,$A46)+SUMIFS(Diário!$B$5:$B$400,Diário!$H$5:$H$400,$A46))</f>
        <v/>
      </c>
      <c r="D46" s="53" t="str">
        <f aca="false">IF($A46="","",SUMIFS('Histórico diário'!$E$5:$E$642,'Histórico diário'!$G$5:$G$642,$A46)+SUMIFS(Diário!$E$5:$E$400,Diário!$H$5:$H$400,$A46))</f>
        <v/>
      </c>
      <c r="E46" s="53" t="str">
        <f aca="false">IF($A46="","",SUMIFS('Histórico diário'!$D$5:$D$642,'Histórico diário'!$G$5:$G$642,$A46)+SUMIFS(Diário!$D$5:$D$400,Diário!$H$5:$H$400,$A46))</f>
        <v/>
      </c>
      <c r="F46" s="53" t="str">
        <f aca="false">IF($A46="","",SUMIFS('Histórico diário'!$C$5:$C$642,'Histórico diário'!$G$5:$G$642,$A46)+SUMIFS(Diário!$C$5:$C$400,Diário!$H$5:$H$400,$A46))</f>
        <v/>
      </c>
      <c r="G46" s="54" t="str">
        <f aca="false">IF(A46="","",SUM(C46:F46))</f>
        <v/>
      </c>
      <c r="H46" s="55" t="str">
        <f aca="false">IF($A46="","",C46*IFERROR(INDEX('Tarifas por mês'!$B$5:$B$25,MATCH($A46,'Tarifas por mês'!$A$5:$A$25,0)),Premissas!$C$4))</f>
        <v/>
      </c>
      <c r="I46" s="55" t="str">
        <f aca="false">IF($A46="","",D46*IFERROR(INDEX('Tarifas por mês'!$C$5:$C$25,MATCH($A46,'Tarifas por mês'!$A$5:$A$25,0)),Premissas!$C$5))</f>
        <v/>
      </c>
      <c r="J46" s="55" t="str">
        <f aca="false">IF($A46="","",E46*IFERROR(INDEX('Tarifas por mês'!$D$5:$D$25,MATCH($A46,'Tarifas por mês'!$A$5:$A$25,0)),Premissas!$C$6))</f>
        <v/>
      </c>
      <c r="K46" s="55" t="str">
        <f aca="false">IF($A46="","",F46*IFERROR(INDEX('Tarifas por mês'!$E$5:$E$25,MATCH($A46,'Tarifas por mês'!$A$5:$A$25,0)),Premissas!$C$7))</f>
        <v/>
      </c>
      <c r="L46" s="56" t="str">
        <f aca="false">IF(A46="","",SUM(H46:K46))</f>
        <v/>
      </c>
      <c r="M46" s="57" t="str">
        <f aca="false">IF(A46="","",IF(G46=0,0,L46/G46))</f>
        <v/>
      </c>
      <c r="N46" s="53" t="str">
        <f aca="false">IF(A46="","",IF(B46=0,0,G46/B46))</f>
        <v/>
      </c>
      <c r="O46" s="53" t="str">
        <f aca="false">IF(A46="","",MAX(_xlfn.MAXIFS('Histórico diário'!$F$5:$F$642,'Histórico diário'!$G$5:$G$642,$A46),_xlfn.MAXIFS(Diário!$F$5:$F$400,Diário!$H$5:$H$400,$A46)))</f>
        <v/>
      </c>
      <c r="P46" s="58" t="str">
        <f aca="false">IF($A46="","",IF(O46=0,"",IF(_xlfn.MAXIFS('Histórico diário'!$F$5:$F$642,'Histórico diário'!$G$5:$G$642,$A46)&gt;=_xlfn.MAXIFS(Diário!$F$5:$F$400,Diário!$H$5:$H$400,$A46),SUMPRODUCT(MAX(('Histórico diário'!$G$5:$G$642=$A46)*('Histórico diário'!$F$5:$F$642=O46)*'Histórico diário'!$A$5:$A$642)),SUMPRODUCT(MAX((Diário!$H$5:$H$400=$A46)*(Diário!$F$5:$F$400=O46)*Diário!$A$5:$A$400)))))</f>
        <v/>
      </c>
      <c r="Q46" s="59" t="str">
        <f aca="false">IF(A46="","",IF(S46=0,"parcial",IF(L45=0,"n/d",L46/L45-1)))</f>
        <v/>
      </c>
      <c r="R46" s="59" t="str">
        <f aca="false">IF(A46="","",IF(S46=0,"parcial",IF(L34=0,"n/d",L46/L34-1)))</f>
        <v/>
      </c>
      <c r="S46" s="53" t="str">
        <f aca="false">IF(A46="","",IF(B46=DAY(EOMONTH(A46,0)),1,0))</f>
        <v/>
      </c>
    </row>
    <row r="47" customFormat="false" ht="15" hidden="false" customHeight="false" outlineLevel="0" collapsed="false">
      <c r="A47" s="52" t="str">
        <f aca="false">IF(A46="","",IF(EDATE(A46,1)&gt;MAX(MAX('Histórico diário'!$A$5:$A$642),MAX(Diário!$A$5:$A$400)),"",EDATE(A46,1)))</f>
        <v/>
      </c>
      <c r="B47" s="53" t="str">
        <f aca="false">IF(A47="","",COUNTIFS('Histórico diário'!$G$5:$G$642,A47)+COUNTIFS(Diário!$H$5:$H$400,A47))</f>
        <v/>
      </c>
      <c r="C47" s="53" t="str">
        <f aca="false">IF($A47="","",SUMIFS('Histórico diário'!$B$5:$B$642,'Histórico diário'!$G$5:$G$642,$A47)+SUMIFS(Diário!$B$5:$B$400,Diário!$H$5:$H$400,$A47))</f>
        <v/>
      </c>
      <c r="D47" s="53" t="str">
        <f aca="false">IF($A47="","",SUMIFS('Histórico diário'!$E$5:$E$642,'Histórico diário'!$G$5:$G$642,$A47)+SUMIFS(Diário!$E$5:$E$400,Diário!$H$5:$H$400,$A47))</f>
        <v/>
      </c>
      <c r="E47" s="53" t="str">
        <f aca="false">IF($A47="","",SUMIFS('Histórico diário'!$D$5:$D$642,'Histórico diário'!$G$5:$G$642,$A47)+SUMIFS(Diário!$D$5:$D$400,Diário!$H$5:$H$400,$A47))</f>
        <v/>
      </c>
      <c r="F47" s="53" t="str">
        <f aca="false">IF($A47="","",SUMIFS('Histórico diário'!$C$5:$C$642,'Histórico diário'!$G$5:$G$642,$A47)+SUMIFS(Diário!$C$5:$C$400,Diário!$H$5:$H$400,$A47))</f>
        <v/>
      </c>
      <c r="G47" s="54" t="str">
        <f aca="false">IF(A47="","",SUM(C47:F47))</f>
        <v/>
      </c>
      <c r="H47" s="55" t="str">
        <f aca="false">IF($A47="","",C47*IFERROR(INDEX('Tarifas por mês'!$B$5:$B$25,MATCH($A47,'Tarifas por mês'!$A$5:$A$25,0)),Premissas!$C$4))</f>
        <v/>
      </c>
      <c r="I47" s="55" t="str">
        <f aca="false">IF($A47="","",D47*IFERROR(INDEX('Tarifas por mês'!$C$5:$C$25,MATCH($A47,'Tarifas por mês'!$A$5:$A$25,0)),Premissas!$C$5))</f>
        <v/>
      </c>
      <c r="J47" s="55" t="str">
        <f aca="false">IF($A47="","",E47*IFERROR(INDEX('Tarifas por mês'!$D$5:$D$25,MATCH($A47,'Tarifas por mês'!$A$5:$A$25,0)),Premissas!$C$6))</f>
        <v/>
      </c>
      <c r="K47" s="55" t="str">
        <f aca="false">IF($A47="","",F47*IFERROR(INDEX('Tarifas por mês'!$E$5:$E$25,MATCH($A47,'Tarifas por mês'!$A$5:$A$25,0)),Premissas!$C$7))</f>
        <v/>
      </c>
      <c r="L47" s="56" t="str">
        <f aca="false">IF(A47="","",SUM(H47:K47))</f>
        <v/>
      </c>
      <c r="M47" s="57" t="str">
        <f aca="false">IF(A47="","",IF(G47=0,0,L47/G47))</f>
        <v/>
      </c>
      <c r="N47" s="53" t="str">
        <f aca="false">IF(A47="","",IF(B47=0,0,G47/B47))</f>
        <v/>
      </c>
      <c r="O47" s="53" t="str">
        <f aca="false">IF(A47="","",MAX(_xlfn.MAXIFS('Histórico diário'!$F$5:$F$642,'Histórico diário'!$G$5:$G$642,$A47),_xlfn.MAXIFS(Diário!$F$5:$F$400,Diário!$H$5:$H$400,$A47)))</f>
        <v/>
      </c>
      <c r="P47" s="58" t="str">
        <f aca="false">IF($A47="","",IF(O47=0,"",IF(_xlfn.MAXIFS('Histórico diário'!$F$5:$F$642,'Histórico diário'!$G$5:$G$642,$A47)&gt;=_xlfn.MAXIFS(Diário!$F$5:$F$400,Diário!$H$5:$H$400,$A47),SUMPRODUCT(MAX(('Histórico diário'!$G$5:$G$642=$A47)*('Histórico diário'!$F$5:$F$642=O47)*'Histórico diário'!$A$5:$A$642)),SUMPRODUCT(MAX((Diário!$H$5:$H$400=$A47)*(Diário!$F$5:$F$400=O47)*Diário!$A$5:$A$400)))))</f>
        <v/>
      </c>
      <c r="Q47" s="59" t="str">
        <f aca="false">IF(A47="","",IF(S47=0,"parcial",IF(L46=0,"n/d",L47/L46-1)))</f>
        <v/>
      </c>
      <c r="R47" s="59" t="str">
        <f aca="false">IF(A47="","",IF(S47=0,"parcial",IF(L35=0,"n/d",L47/L35-1)))</f>
        <v/>
      </c>
      <c r="S47" s="53" t="str">
        <f aca="false">IF(A47="","",IF(B47=DAY(EOMONTH(A47,0)),1,0))</f>
        <v/>
      </c>
    </row>
    <row r="48" customFormat="false" ht="15" hidden="false" customHeight="false" outlineLevel="0" collapsed="false">
      <c r="A48" s="52" t="str">
        <f aca="false">IF(A47="","",IF(EDATE(A47,1)&gt;MAX(MAX('Histórico diário'!$A$5:$A$642),MAX(Diário!$A$5:$A$400)),"",EDATE(A47,1)))</f>
        <v/>
      </c>
      <c r="B48" s="53" t="str">
        <f aca="false">IF(A48="","",COUNTIFS('Histórico diário'!$G$5:$G$642,A48)+COUNTIFS(Diário!$H$5:$H$400,A48))</f>
        <v/>
      </c>
      <c r="C48" s="53" t="str">
        <f aca="false">IF($A48="","",SUMIFS('Histórico diário'!$B$5:$B$642,'Histórico diário'!$G$5:$G$642,$A48)+SUMIFS(Diário!$B$5:$B$400,Diário!$H$5:$H$400,$A48))</f>
        <v/>
      </c>
      <c r="D48" s="53" t="str">
        <f aca="false">IF($A48="","",SUMIFS('Histórico diário'!$E$5:$E$642,'Histórico diário'!$G$5:$G$642,$A48)+SUMIFS(Diário!$E$5:$E$400,Diário!$H$5:$H$400,$A48))</f>
        <v/>
      </c>
      <c r="E48" s="53" t="str">
        <f aca="false">IF($A48="","",SUMIFS('Histórico diário'!$D$5:$D$642,'Histórico diário'!$G$5:$G$642,$A48)+SUMIFS(Diário!$D$5:$D$400,Diário!$H$5:$H$400,$A48))</f>
        <v/>
      </c>
      <c r="F48" s="53" t="str">
        <f aca="false">IF($A48="","",SUMIFS('Histórico diário'!$C$5:$C$642,'Histórico diário'!$G$5:$G$642,$A48)+SUMIFS(Diário!$C$5:$C$400,Diário!$H$5:$H$400,$A48))</f>
        <v/>
      </c>
      <c r="G48" s="54" t="str">
        <f aca="false">IF(A48="","",SUM(C48:F48))</f>
        <v/>
      </c>
      <c r="H48" s="55" t="str">
        <f aca="false">IF($A48="","",C48*IFERROR(INDEX('Tarifas por mês'!$B$5:$B$25,MATCH($A48,'Tarifas por mês'!$A$5:$A$25,0)),Premissas!$C$4))</f>
        <v/>
      </c>
      <c r="I48" s="55" t="str">
        <f aca="false">IF($A48="","",D48*IFERROR(INDEX('Tarifas por mês'!$C$5:$C$25,MATCH($A48,'Tarifas por mês'!$A$5:$A$25,0)),Premissas!$C$5))</f>
        <v/>
      </c>
      <c r="J48" s="55" t="str">
        <f aca="false">IF($A48="","",E48*IFERROR(INDEX('Tarifas por mês'!$D$5:$D$25,MATCH($A48,'Tarifas por mês'!$A$5:$A$25,0)),Premissas!$C$6))</f>
        <v/>
      </c>
      <c r="K48" s="55" t="str">
        <f aca="false">IF($A48="","",F48*IFERROR(INDEX('Tarifas por mês'!$E$5:$E$25,MATCH($A48,'Tarifas por mês'!$A$5:$A$25,0)),Premissas!$C$7))</f>
        <v/>
      </c>
      <c r="L48" s="56" t="str">
        <f aca="false">IF(A48="","",SUM(H48:K48))</f>
        <v/>
      </c>
      <c r="M48" s="57" t="str">
        <f aca="false">IF(A48="","",IF(G48=0,0,L48/G48))</f>
        <v/>
      </c>
      <c r="N48" s="53" t="str">
        <f aca="false">IF(A48="","",IF(B48=0,0,G48/B48))</f>
        <v/>
      </c>
      <c r="O48" s="53" t="str">
        <f aca="false">IF(A48="","",MAX(_xlfn.MAXIFS('Histórico diário'!$F$5:$F$642,'Histórico diário'!$G$5:$G$642,$A48),_xlfn.MAXIFS(Diário!$F$5:$F$400,Diário!$H$5:$H$400,$A48)))</f>
        <v/>
      </c>
      <c r="P48" s="58" t="str">
        <f aca="false">IF($A48="","",IF(O48=0,"",IF(_xlfn.MAXIFS('Histórico diário'!$F$5:$F$642,'Histórico diário'!$G$5:$G$642,$A48)&gt;=_xlfn.MAXIFS(Diário!$F$5:$F$400,Diário!$H$5:$H$400,$A48),SUMPRODUCT(MAX(('Histórico diário'!$G$5:$G$642=$A48)*('Histórico diário'!$F$5:$F$642=O48)*'Histórico diário'!$A$5:$A$642)),SUMPRODUCT(MAX((Diário!$H$5:$H$400=$A48)*(Diário!$F$5:$F$400=O48)*Diário!$A$5:$A$400)))))</f>
        <v/>
      </c>
      <c r="Q48" s="59" t="str">
        <f aca="false">IF(A48="","",IF(S48=0,"parcial",IF(L47=0,"n/d",L48/L47-1)))</f>
        <v/>
      </c>
      <c r="R48" s="59" t="str">
        <f aca="false">IF(A48="","",IF(S48=0,"parcial",IF(L36=0,"n/d",L48/L36-1)))</f>
        <v/>
      </c>
      <c r="S48" s="53" t="str">
        <f aca="false">IF(A48="","",IF(B48=DAY(EOMONTH(A48,0)),1,0))</f>
        <v/>
      </c>
    </row>
    <row r="49" customFormat="false" ht="15" hidden="false" customHeight="false" outlineLevel="0" collapsed="false">
      <c r="A49" s="52" t="str">
        <f aca="false">IF(A48="","",IF(EDATE(A48,1)&gt;MAX(MAX('Histórico diário'!$A$5:$A$642),MAX(Diário!$A$5:$A$400)),"",EDATE(A48,1)))</f>
        <v/>
      </c>
      <c r="B49" s="53" t="str">
        <f aca="false">IF(A49="","",COUNTIFS('Histórico diário'!$G$5:$G$642,A49)+COUNTIFS(Diário!$H$5:$H$400,A49))</f>
        <v/>
      </c>
      <c r="C49" s="53" t="str">
        <f aca="false">IF($A49="","",SUMIFS('Histórico diário'!$B$5:$B$642,'Histórico diário'!$G$5:$G$642,$A49)+SUMIFS(Diário!$B$5:$B$400,Diário!$H$5:$H$400,$A49))</f>
        <v/>
      </c>
      <c r="D49" s="53" t="str">
        <f aca="false">IF($A49="","",SUMIFS('Histórico diário'!$E$5:$E$642,'Histórico diário'!$G$5:$G$642,$A49)+SUMIFS(Diário!$E$5:$E$400,Diário!$H$5:$H$400,$A49))</f>
        <v/>
      </c>
      <c r="E49" s="53" t="str">
        <f aca="false">IF($A49="","",SUMIFS('Histórico diário'!$D$5:$D$642,'Histórico diário'!$G$5:$G$642,$A49)+SUMIFS(Diário!$D$5:$D$400,Diário!$H$5:$H$400,$A49))</f>
        <v/>
      </c>
      <c r="F49" s="53" t="str">
        <f aca="false">IF($A49="","",SUMIFS('Histórico diário'!$C$5:$C$642,'Histórico diário'!$G$5:$G$642,$A49)+SUMIFS(Diário!$C$5:$C$400,Diário!$H$5:$H$400,$A49))</f>
        <v/>
      </c>
      <c r="G49" s="54" t="str">
        <f aca="false">IF(A49="","",SUM(C49:F49))</f>
        <v/>
      </c>
      <c r="H49" s="55" t="str">
        <f aca="false">IF($A49="","",C49*IFERROR(INDEX('Tarifas por mês'!$B$5:$B$25,MATCH($A49,'Tarifas por mês'!$A$5:$A$25,0)),Premissas!$C$4))</f>
        <v/>
      </c>
      <c r="I49" s="55" t="str">
        <f aca="false">IF($A49="","",D49*IFERROR(INDEX('Tarifas por mês'!$C$5:$C$25,MATCH($A49,'Tarifas por mês'!$A$5:$A$25,0)),Premissas!$C$5))</f>
        <v/>
      </c>
      <c r="J49" s="55" t="str">
        <f aca="false">IF($A49="","",E49*IFERROR(INDEX('Tarifas por mês'!$D$5:$D$25,MATCH($A49,'Tarifas por mês'!$A$5:$A$25,0)),Premissas!$C$6))</f>
        <v/>
      </c>
      <c r="K49" s="55" t="str">
        <f aca="false">IF($A49="","",F49*IFERROR(INDEX('Tarifas por mês'!$E$5:$E$25,MATCH($A49,'Tarifas por mês'!$A$5:$A$25,0)),Premissas!$C$7))</f>
        <v/>
      </c>
      <c r="L49" s="56" t="str">
        <f aca="false">IF(A49="","",SUM(H49:K49))</f>
        <v/>
      </c>
      <c r="M49" s="57" t="str">
        <f aca="false">IF(A49="","",IF(G49=0,0,L49/G49))</f>
        <v/>
      </c>
      <c r="N49" s="53" t="str">
        <f aca="false">IF(A49="","",IF(B49=0,0,G49/B49))</f>
        <v/>
      </c>
      <c r="O49" s="53" t="str">
        <f aca="false">IF(A49="","",MAX(_xlfn.MAXIFS('Histórico diário'!$F$5:$F$642,'Histórico diário'!$G$5:$G$642,$A49),_xlfn.MAXIFS(Diário!$F$5:$F$400,Diário!$H$5:$H$400,$A49)))</f>
        <v/>
      </c>
      <c r="P49" s="58" t="str">
        <f aca="false">IF($A49="","",IF(O49=0,"",IF(_xlfn.MAXIFS('Histórico diário'!$F$5:$F$642,'Histórico diário'!$G$5:$G$642,$A49)&gt;=_xlfn.MAXIFS(Diário!$F$5:$F$400,Diário!$H$5:$H$400,$A49),SUMPRODUCT(MAX(('Histórico diário'!$G$5:$G$642=$A49)*('Histórico diário'!$F$5:$F$642=O49)*'Histórico diário'!$A$5:$A$642)),SUMPRODUCT(MAX((Diário!$H$5:$H$400=$A49)*(Diário!$F$5:$F$400=O49)*Diário!$A$5:$A$400)))))</f>
        <v/>
      </c>
      <c r="Q49" s="59" t="str">
        <f aca="false">IF(A49="","",IF(S49=0,"parcial",IF(L48=0,"n/d",L49/L48-1)))</f>
        <v/>
      </c>
      <c r="R49" s="59" t="str">
        <f aca="false">IF(A49="","",IF(S49=0,"parcial",IF(L37=0,"n/d",L49/L37-1)))</f>
        <v/>
      </c>
      <c r="S49" s="53" t="str">
        <f aca="false">IF(A49="","",IF(B49=DAY(EOMONTH(A49,0)),1,0))</f>
        <v/>
      </c>
    </row>
    <row r="50" customFormat="false" ht="15" hidden="false" customHeight="false" outlineLevel="0" collapsed="false">
      <c r="A50" s="52" t="str">
        <f aca="false">IF(A49="","",IF(EDATE(A49,1)&gt;MAX(MAX('Histórico diário'!$A$5:$A$642),MAX(Diário!$A$5:$A$400)),"",EDATE(A49,1)))</f>
        <v/>
      </c>
      <c r="B50" s="53" t="str">
        <f aca="false">IF(A50="","",COUNTIFS('Histórico diário'!$G$5:$G$642,A50)+COUNTIFS(Diário!$H$5:$H$400,A50))</f>
        <v/>
      </c>
      <c r="C50" s="53" t="str">
        <f aca="false">IF($A50="","",SUMIFS('Histórico diário'!$B$5:$B$642,'Histórico diário'!$G$5:$G$642,$A50)+SUMIFS(Diário!$B$5:$B$400,Diário!$H$5:$H$400,$A50))</f>
        <v/>
      </c>
      <c r="D50" s="53" t="str">
        <f aca="false">IF($A50="","",SUMIFS('Histórico diário'!$E$5:$E$642,'Histórico diário'!$G$5:$G$642,$A50)+SUMIFS(Diário!$E$5:$E$400,Diário!$H$5:$H$400,$A50))</f>
        <v/>
      </c>
      <c r="E50" s="53" t="str">
        <f aca="false">IF($A50="","",SUMIFS('Histórico diário'!$D$5:$D$642,'Histórico diário'!$G$5:$G$642,$A50)+SUMIFS(Diário!$D$5:$D$400,Diário!$H$5:$H$400,$A50))</f>
        <v/>
      </c>
      <c r="F50" s="53" t="str">
        <f aca="false">IF($A50="","",SUMIFS('Histórico diário'!$C$5:$C$642,'Histórico diário'!$G$5:$G$642,$A50)+SUMIFS(Diário!$C$5:$C$400,Diário!$H$5:$H$400,$A50))</f>
        <v/>
      </c>
      <c r="G50" s="54" t="str">
        <f aca="false">IF(A50="","",SUM(C50:F50))</f>
        <v/>
      </c>
      <c r="H50" s="55" t="str">
        <f aca="false">IF($A50="","",C50*IFERROR(INDEX('Tarifas por mês'!$B$5:$B$25,MATCH($A50,'Tarifas por mês'!$A$5:$A$25,0)),Premissas!$C$4))</f>
        <v/>
      </c>
      <c r="I50" s="55" t="str">
        <f aca="false">IF($A50="","",D50*IFERROR(INDEX('Tarifas por mês'!$C$5:$C$25,MATCH($A50,'Tarifas por mês'!$A$5:$A$25,0)),Premissas!$C$5))</f>
        <v/>
      </c>
      <c r="J50" s="55" t="str">
        <f aca="false">IF($A50="","",E50*IFERROR(INDEX('Tarifas por mês'!$D$5:$D$25,MATCH($A50,'Tarifas por mês'!$A$5:$A$25,0)),Premissas!$C$6))</f>
        <v/>
      </c>
      <c r="K50" s="55" t="str">
        <f aca="false">IF($A50="","",F50*IFERROR(INDEX('Tarifas por mês'!$E$5:$E$25,MATCH($A50,'Tarifas por mês'!$A$5:$A$25,0)),Premissas!$C$7))</f>
        <v/>
      </c>
      <c r="L50" s="56" t="str">
        <f aca="false">IF(A50="","",SUM(H50:K50))</f>
        <v/>
      </c>
      <c r="M50" s="57" t="str">
        <f aca="false">IF(A50="","",IF(G50=0,0,L50/G50))</f>
        <v/>
      </c>
      <c r="N50" s="53" t="str">
        <f aca="false">IF(A50="","",IF(B50=0,0,G50/B50))</f>
        <v/>
      </c>
      <c r="O50" s="53" t="str">
        <f aca="false">IF(A50="","",MAX(_xlfn.MAXIFS('Histórico diário'!$F$5:$F$642,'Histórico diário'!$G$5:$G$642,$A50),_xlfn.MAXIFS(Diário!$F$5:$F$400,Diário!$H$5:$H$400,$A50)))</f>
        <v/>
      </c>
      <c r="P50" s="58" t="str">
        <f aca="false">IF($A50="","",IF(O50=0,"",IF(_xlfn.MAXIFS('Histórico diário'!$F$5:$F$642,'Histórico diário'!$G$5:$G$642,$A50)&gt;=_xlfn.MAXIFS(Diário!$F$5:$F$400,Diário!$H$5:$H$400,$A50),SUMPRODUCT(MAX(('Histórico diário'!$G$5:$G$642=$A50)*('Histórico diário'!$F$5:$F$642=O50)*'Histórico diário'!$A$5:$A$642)),SUMPRODUCT(MAX((Diário!$H$5:$H$400=$A50)*(Diário!$F$5:$F$400=O50)*Diário!$A$5:$A$400)))))</f>
        <v/>
      </c>
      <c r="Q50" s="59" t="str">
        <f aca="false">IF(A50="","",IF(S50=0,"parcial",IF(L49=0,"n/d",L50/L49-1)))</f>
        <v/>
      </c>
      <c r="R50" s="59" t="str">
        <f aca="false">IF(A50="","",IF(S50=0,"parcial",IF(L38=0,"n/d",L50/L38-1)))</f>
        <v/>
      </c>
      <c r="S50" s="53" t="str">
        <f aca="false">IF(A50="","",IF(B50=DAY(EOMONTH(A50,0)),1,0))</f>
        <v/>
      </c>
    </row>
    <row r="51" customFormat="false" ht="15" hidden="false" customHeight="false" outlineLevel="0" collapsed="false">
      <c r="A51" s="52" t="str">
        <f aca="false">IF(A50="","",IF(EDATE(A50,1)&gt;MAX(MAX('Histórico diário'!$A$5:$A$642),MAX(Diário!$A$5:$A$400)),"",EDATE(A50,1)))</f>
        <v/>
      </c>
      <c r="B51" s="53" t="str">
        <f aca="false">IF(A51="","",COUNTIFS('Histórico diário'!$G$5:$G$642,A51)+COUNTIFS(Diário!$H$5:$H$400,A51))</f>
        <v/>
      </c>
      <c r="C51" s="53" t="str">
        <f aca="false">IF($A51="","",SUMIFS('Histórico diário'!$B$5:$B$642,'Histórico diário'!$G$5:$G$642,$A51)+SUMIFS(Diário!$B$5:$B$400,Diário!$H$5:$H$400,$A51))</f>
        <v/>
      </c>
      <c r="D51" s="53" t="str">
        <f aca="false">IF($A51="","",SUMIFS('Histórico diário'!$E$5:$E$642,'Histórico diário'!$G$5:$G$642,$A51)+SUMIFS(Diário!$E$5:$E$400,Diário!$H$5:$H$400,$A51))</f>
        <v/>
      </c>
      <c r="E51" s="53" t="str">
        <f aca="false">IF($A51="","",SUMIFS('Histórico diário'!$D$5:$D$642,'Histórico diário'!$G$5:$G$642,$A51)+SUMIFS(Diário!$D$5:$D$400,Diário!$H$5:$H$400,$A51))</f>
        <v/>
      </c>
      <c r="F51" s="53" t="str">
        <f aca="false">IF($A51="","",SUMIFS('Histórico diário'!$C$5:$C$642,'Histórico diário'!$G$5:$G$642,$A51)+SUMIFS(Diário!$C$5:$C$400,Diário!$H$5:$H$400,$A51))</f>
        <v/>
      </c>
      <c r="G51" s="54" t="str">
        <f aca="false">IF(A51="","",SUM(C51:F51))</f>
        <v/>
      </c>
      <c r="H51" s="55" t="str">
        <f aca="false">IF($A51="","",C51*IFERROR(INDEX('Tarifas por mês'!$B$5:$B$25,MATCH($A51,'Tarifas por mês'!$A$5:$A$25,0)),Premissas!$C$4))</f>
        <v/>
      </c>
      <c r="I51" s="55" t="str">
        <f aca="false">IF($A51="","",D51*IFERROR(INDEX('Tarifas por mês'!$C$5:$C$25,MATCH($A51,'Tarifas por mês'!$A$5:$A$25,0)),Premissas!$C$5))</f>
        <v/>
      </c>
      <c r="J51" s="55" t="str">
        <f aca="false">IF($A51="","",E51*IFERROR(INDEX('Tarifas por mês'!$D$5:$D$25,MATCH($A51,'Tarifas por mês'!$A$5:$A$25,0)),Premissas!$C$6))</f>
        <v/>
      </c>
      <c r="K51" s="55" t="str">
        <f aca="false">IF($A51="","",F51*IFERROR(INDEX('Tarifas por mês'!$E$5:$E$25,MATCH($A51,'Tarifas por mês'!$A$5:$A$25,0)),Premissas!$C$7))</f>
        <v/>
      </c>
      <c r="L51" s="56" t="str">
        <f aca="false">IF(A51="","",SUM(H51:K51))</f>
        <v/>
      </c>
      <c r="M51" s="57" t="str">
        <f aca="false">IF(A51="","",IF(G51=0,0,L51/G51))</f>
        <v/>
      </c>
      <c r="N51" s="53" t="str">
        <f aca="false">IF(A51="","",IF(B51=0,0,G51/B51))</f>
        <v/>
      </c>
      <c r="O51" s="53" t="str">
        <f aca="false">IF(A51="","",MAX(_xlfn.MAXIFS('Histórico diário'!$F$5:$F$642,'Histórico diário'!$G$5:$G$642,$A51),_xlfn.MAXIFS(Diário!$F$5:$F$400,Diário!$H$5:$H$400,$A51)))</f>
        <v/>
      </c>
      <c r="P51" s="58" t="str">
        <f aca="false">IF($A51="","",IF(O51=0,"",IF(_xlfn.MAXIFS('Histórico diário'!$F$5:$F$642,'Histórico diário'!$G$5:$G$642,$A51)&gt;=_xlfn.MAXIFS(Diário!$F$5:$F$400,Diário!$H$5:$H$400,$A51),SUMPRODUCT(MAX(('Histórico diário'!$G$5:$G$642=$A51)*('Histórico diário'!$F$5:$F$642=O51)*'Histórico diário'!$A$5:$A$642)),SUMPRODUCT(MAX((Diário!$H$5:$H$400=$A51)*(Diário!$F$5:$F$400=O51)*Diário!$A$5:$A$400)))))</f>
        <v/>
      </c>
      <c r="Q51" s="59" t="str">
        <f aca="false">IF(A51="","",IF(S51=0,"parcial",IF(L50=0,"n/d",L51/L50-1)))</f>
        <v/>
      </c>
      <c r="R51" s="59" t="str">
        <f aca="false">IF(A51="","",IF(S51=0,"parcial",IF(L39=0,"n/d",L51/L39-1)))</f>
        <v/>
      </c>
      <c r="S51" s="53" t="str">
        <f aca="false">IF(A51="","",IF(B51=DAY(EOMONTH(A51,0)),1,0))</f>
        <v/>
      </c>
    </row>
    <row r="52" customFormat="false" ht="15" hidden="false" customHeight="false" outlineLevel="0" collapsed="false">
      <c r="A52" s="52" t="str">
        <f aca="false">IF(A51="","",IF(EDATE(A51,1)&gt;MAX(MAX('Histórico diário'!$A$5:$A$642),MAX(Diário!$A$5:$A$400)),"",EDATE(A51,1)))</f>
        <v/>
      </c>
      <c r="B52" s="53" t="str">
        <f aca="false">IF(A52="","",COUNTIFS('Histórico diário'!$G$5:$G$642,A52)+COUNTIFS(Diário!$H$5:$H$400,A52))</f>
        <v/>
      </c>
      <c r="C52" s="53" t="str">
        <f aca="false">IF($A52="","",SUMIFS('Histórico diário'!$B$5:$B$642,'Histórico diário'!$G$5:$G$642,$A52)+SUMIFS(Diário!$B$5:$B$400,Diário!$H$5:$H$400,$A52))</f>
        <v/>
      </c>
      <c r="D52" s="53" t="str">
        <f aca="false">IF($A52="","",SUMIFS('Histórico diário'!$E$5:$E$642,'Histórico diário'!$G$5:$G$642,$A52)+SUMIFS(Diário!$E$5:$E$400,Diário!$H$5:$H$400,$A52))</f>
        <v/>
      </c>
      <c r="E52" s="53" t="str">
        <f aca="false">IF($A52="","",SUMIFS('Histórico diário'!$D$5:$D$642,'Histórico diário'!$G$5:$G$642,$A52)+SUMIFS(Diário!$D$5:$D$400,Diário!$H$5:$H$400,$A52))</f>
        <v/>
      </c>
      <c r="F52" s="53" t="str">
        <f aca="false">IF($A52="","",SUMIFS('Histórico diário'!$C$5:$C$642,'Histórico diário'!$G$5:$G$642,$A52)+SUMIFS(Diário!$C$5:$C$400,Diário!$H$5:$H$400,$A52))</f>
        <v/>
      </c>
      <c r="G52" s="54" t="str">
        <f aca="false">IF(A52="","",SUM(C52:F52))</f>
        <v/>
      </c>
      <c r="H52" s="55" t="str">
        <f aca="false">IF($A52="","",C52*IFERROR(INDEX('Tarifas por mês'!$B$5:$B$25,MATCH($A52,'Tarifas por mês'!$A$5:$A$25,0)),Premissas!$C$4))</f>
        <v/>
      </c>
      <c r="I52" s="55" t="str">
        <f aca="false">IF($A52="","",D52*IFERROR(INDEX('Tarifas por mês'!$C$5:$C$25,MATCH($A52,'Tarifas por mês'!$A$5:$A$25,0)),Premissas!$C$5))</f>
        <v/>
      </c>
      <c r="J52" s="55" t="str">
        <f aca="false">IF($A52="","",E52*IFERROR(INDEX('Tarifas por mês'!$D$5:$D$25,MATCH($A52,'Tarifas por mês'!$A$5:$A$25,0)),Premissas!$C$6))</f>
        <v/>
      </c>
      <c r="K52" s="55" t="str">
        <f aca="false">IF($A52="","",F52*IFERROR(INDEX('Tarifas por mês'!$E$5:$E$25,MATCH($A52,'Tarifas por mês'!$A$5:$A$25,0)),Premissas!$C$7))</f>
        <v/>
      </c>
      <c r="L52" s="56" t="str">
        <f aca="false">IF(A52="","",SUM(H52:K52))</f>
        <v/>
      </c>
      <c r="M52" s="57" t="str">
        <f aca="false">IF(A52="","",IF(G52=0,0,L52/G52))</f>
        <v/>
      </c>
      <c r="N52" s="53" t="str">
        <f aca="false">IF(A52="","",IF(B52=0,0,G52/B52))</f>
        <v/>
      </c>
      <c r="O52" s="53" t="str">
        <f aca="false">IF(A52="","",MAX(_xlfn.MAXIFS('Histórico diário'!$F$5:$F$642,'Histórico diário'!$G$5:$G$642,$A52),_xlfn.MAXIFS(Diário!$F$5:$F$400,Diário!$H$5:$H$400,$A52)))</f>
        <v/>
      </c>
      <c r="P52" s="58" t="str">
        <f aca="false">IF($A52="","",IF(O52=0,"",IF(_xlfn.MAXIFS('Histórico diário'!$F$5:$F$642,'Histórico diário'!$G$5:$G$642,$A52)&gt;=_xlfn.MAXIFS(Diário!$F$5:$F$400,Diário!$H$5:$H$400,$A52),SUMPRODUCT(MAX(('Histórico diário'!$G$5:$G$642=$A52)*('Histórico diário'!$F$5:$F$642=O52)*'Histórico diário'!$A$5:$A$642)),SUMPRODUCT(MAX((Diário!$H$5:$H$400=$A52)*(Diário!$F$5:$F$400=O52)*Diário!$A$5:$A$400)))))</f>
        <v/>
      </c>
      <c r="Q52" s="59" t="str">
        <f aca="false">IF(A52="","",IF(S52=0,"parcial",IF(L51=0,"n/d",L52/L51-1)))</f>
        <v/>
      </c>
      <c r="R52" s="59" t="str">
        <f aca="false">IF(A52="","",IF(S52=0,"parcial",IF(L40=0,"n/d",L52/L40-1)))</f>
        <v/>
      </c>
      <c r="S52" s="53" t="str">
        <f aca="false">IF(A52="","",IF(B52=DAY(EOMONTH(A52,0)),1,0))</f>
        <v/>
      </c>
    </row>
    <row r="53" customFormat="false" ht="15" hidden="false" customHeight="false" outlineLevel="0" collapsed="false">
      <c r="A53" s="52" t="str">
        <f aca="false">IF(A52="","",IF(EDATE(A52,1)&gt;MAX(MAX('Histórico diário'!$A$5:$A$642),MAX(Diário!$A$5:$A$400)),"",EDATE(A52,1)))</f>
        <v/>
      </c>
      <c r="B53" s="53" t="str">
        <f aca="false">IF(A53="","",COUNTIFS('Histórico diário'!$G$5:$G$642,A53)+COUNTIFS(Diário!$H$5:$H$400,A53))</f>
        <v/>
      </c>
      <c r="C53" s="53" t="str">
        <f aca="false">IF($A53="","",SUMIFS('Histórico diário'!$B$5:$B$642,'Histórico diário'!$G$5:$G$642,$A53)+SUMIFS(Diário!$B$5:$B$400,Diário!$H$5:$H$400,$A53))</f>
        <v/>
      </c>
      <c r="D53" s="53" t="str">
        <f aca="false">IF($A53="","",SUMIFS('Histórico diário'!$E$5:$E$642,'Histórico diário'!$G$5:$G$642,$A53)+SUMIFS(Diário!$E$5:$E$400,Diário!$H$5:$H$400,$A53))</f>
        <v/>
      </c>
      <c r="E53" s="53" t="str">
        <f aca="false">IF($A53="","",SUMIFS('Histórico diário'!$D$5:$D$642,'Histórico diário'!$G$5:$G$642,$A53)+SUMIFS(Diário!$D$5:$D$400,Diário!$H$5:$H$400,$A53))</f>
        <v/>
      </c>
      <c r="F53" s="53" t="str">
        <f aca="false">IF($A53="","",SUMIFS('Histórico diário'!$C$5:$C$642,'Histórico diário'!$G$5:$G$642,$A53)+SUMIFS(Diário!$C$5:$C$400,Diário!$H$5:$H$400,$A53))</f>
        <v/>
      </c>
      <c r="G53" s="54" t="str">
        <f aca="false">IF(A53="","",SUM(C53:F53))</f>
        <v/>
      </c>
      <c r="H53" s="55" t="str">
        <f aca="false">IF($A53="","",C53*IFERROR(INDEX('Tarifas por mês'!$B$5:$B$25,MATCH($A53,'Tarifas por mês'!$A$5:$A$25,0)),Premissas!$C$4))</f>
        <v/>
      </c>
      <c r="I53" s="55" t="str">
        <f aca="false">IF($A53="","",D53*IFERROR(INDEX('Tarifas por mês'!$C$5:$C$25,MATCH($A53,'Tarifas por mês'!$A$5:$A$25,0)),Premissas!$C$5))</f>
        <v/>
      </c>
      <c r="J53" s="55" t="str">
        <f aca="false">IF($A53="","",E53*IFERROR(INDEX('Tarifas por mês'!$D$5:$D$25,MATCH($A53,'Tarifas por mês'!$A$5:$A$25,0)),Premissas!$C$6))</f>
        <v/>
      </c>
      <c r="K53" s="55" t="str">
        <f aca="false">IF($A53="","",F53*IFERROR(INDEX('Tarifas por mês'!$E$5:$E$25,MATCH($A53,'Tarifas por mês'!$A$5:$A$25,0)),Premissas!$C$7))</f>
        <v/>
      </c>
      <c r="L53" s="56" t="str">
        <f aca="false">IF(A53="","",SUM(H53:K53))</f>
        <v/>
      </c>
      <c r="M53" s="57" t="str">
        <f aca="false">IF(A53="","",IF(G53=0,0,L53/G53))</f>
        <v/>
      </c>
      <c r="N53" s="53" t="str">
        <f aca="false">IF(A53="","",IF(B53=0,0,G53/B53))</f>
        <v/>
      </c>
      <c r="O53" s="53" t="str">
        <f aca="false">IF(A53="","",MAX(_xlfn.MAXIFS('Histórico diário'!$F$5:$F$642,'Histórico diário'!$G$5:$G$642,$A53),_xlfn.MAXIFS(Diário!$F$5:$F$400,Diário!$H$5:$H$400,$A53)))</f>
        <v/>
      </c>
      <c r="P53" s="58" t="str">
        <f aca="false">IF($A53="","",IF(O53=0,"",IF(_xlfn.MAXIFS('Histórico diário'!$F$5:$F$642,'Histórico diário'!$G$5:$G$642,$A53)&gt;=_xlfn.MAXIFS(Diário!$F$5:$F$400,Diário!$H$5:$H$400,$A53),SUMPRODUCT(MAX(('Histórico diário'!$G$5:$G$642=$A53)*('Histórico diário'!$F$5:$F$642=O53)*'Histórico diário'!$A$5:$A$642)),SUMPRODUCT(MAX((Diário!$H$5:$H$400=$A53)*(Diário!$F$5:$F$400=O53)*Diário!$A$5:$A$400)))))</f>
        <v/>
      </c>
      <c r="Q53" s="59" t="str">
        <f aca="false">IF(A53="","",IF(S53=0,"parcial",IF(L52=0,"n/d",L53/L52-1)))</f>
        <v/>
      </c>
      <c r="R53" s="59" t="str">
        <f aca="false">IF(A53="","",IF(S53=0,"parcial",IF(L41=0,"n/d",L53/L41-1)))</f>
        <v/>
      </c>
      <c r="S53" s="53" t="str">
        <f aca="false">IF(A53="","",IF(B53=DAY(EOMONTH(A53,0)),1,0))</f>
        <v/>
      </c>
    </row>
    <row r="54" customFormat="false" ht="15" hidden="false" customHeight="false" outlineLevel="0" collapsed="false">
      <c r="A54" s="52" t="str">
        <f aca="false">IF(A53="","",IF(EDATE(A53,1)&gt;MAX(MAX('Histórico diário'!$A$5:$A$642),MAX(Diário!$A$5:$A$400)),"",EDATE(A53,1)))</f>
        <v/>
      </c>
      <c r="B54" s="53" t="str">
        <f aca="false">IF(A54="","",COUNTIFS('Histórico diário'!$G$5:$G$642,A54)+COUNTIFS(Diário!$H$5:$H$400,A54))</f>
        <v/>
      </c>
      <c r="C54" s="53" t="str">
        <f aca="false">IF($A54="","",SUMIFS('Histórico diário'!$B$5:$B$642,'Histórico diário'!$G$5:$G$642,$A54)+SUMIFS(Diário!$B$5:$B$400,Diário!$H$5:$H$400,$A54))</f>
        <v/>
      </c>
      <c r="D54" s="53" t="str">
        <f aca="false">IF($A54="","",SUMIFS('Histórico diário'!$E$5:$E$642,'Histórico diário'!$G$5:$G$642,$A54)+SUMIFS(Diário!$E$5:$E$400,Diário!$H$5:$H$400,$A54))</f>
        <v/>
      </c>
      <c r="E54" s="53" t="str">
        <f aca="false">IF($A54="","",SUMIFS('Histórico diário'!$D$5:$D$642,'Histórico diário'!$G$5:$G$642,$A54)+SUMIFS(Diário!$D$5:$D$400,Diário!$H$5:$H$400,$A54))</f>
        <v/>
      </c>
      <c r="F54" s="53" t="str">
        <f aca="false">IF($A54="","",SUMIFS('Histórico diário'!$C$5:$C$642,'Histórico diário'!$G$5:$G$642,$A54)+SUMIFS(Diário!$C$5:$C$400,Diário!$H$5:$H$400,$A54))</f>
        <v/>
      </c>
      <c r="G54" s="54" t="str">
        <f aca="false">IF(A54="","",SUM(C54:F54))</f>
        <v/>
      </c>
      <c r="H54" s="55" t="str">
        <f aca="false">IF($A54="","",C54*IFERROR(INDEX('Tarifas por mês'!$B$5:$B$25,MATCH($A54,'Tarifas por mês'!$A$5:$A$25,0)),Premissas!$C$4))</f>
        <v/>
      </c>
      <c r="I54" s="55" t="str">
        <f aca="false">IF($A54="","",D54*IFERROR(INDEX('Tarifas por mês'!$C$5:$C$25,MATCH($A54,'Tarifas por mês'!$A$5:$A$25,0)),Premissas!$C$5))</f>
        <v/>
      </c>
      <c r="J54" s="55" t="str">
        <f aca="false">IF($A54="","",E54*IFERROR(INDEX('Tarifas por mês'!$D$5:$D$25,MATCH($A54,'Tarifas por mês'!$A$5:$A$25,0)),Premissas!$C$6))</f>
        <v/>
      </c>
      <c r="K54" s="55" t="str">
        <f aca="false">IF($A54="","",F54*IFERROR(INDEX('Tarifas por mês'!$E$5:$E$25,MATCH($A54,'Tarifas por mês'!$A$5:$A$25,0)),Premissas!$C$7))</f>
        <v/>
      </c>
      <c r="L54" s="56" t="str">
        <f aca="false">IF(A54="","",SUM(H54:K54))</f>
        <v/>
      </c>
      <c r="M54" s="57" t="str">
        <f aca="false">IF(A54="","",IF(G54=0,0,L54/G54))</f>
        <v/>
      </c>
      <c r="N54" s="53" t="str">
        <f aca="false">IF(A54="","",IF(B54=0,0,G54/B54))</f>
        <v/>
      </c>
      <c r="O54" s="53" t="str">
        <f aca="false">IF(A54="","",MAX(_xlfn.MAXIFS('Histórico diário'!$F$5:$F$642,'Histórico diário'!$G$5:$G$642,$A54),_xlfn.MAXIFS(Diário!$F$5:$F$400,Diário!$H$5:$H$400,$A54)))</f>
        <v/>
      </c>
      <c r="P54" s="58" t="str">
        <f aca="false">IF($A54="","",IF(O54=0,"",IF(_xlfn.MAXIFS('Histórico diário'!$F$5:$F$642,'Histórico diário'!$G$5:$G$642,$A54)&gt;=_xlfn.MAXIFS(Diário!$F$5:$F$400,Diário!$H$5:$H$400,$A54),SUMPRODUCT(MAX(('Histórico diário'!$G$5:$G$642=$A54)*('Histórico diário'!$F$5:$F$642=O54)*'Histórico diário'!$A$5:$A$642)),SUMPRODUCT(MAX((Diário!$H$5:$H$400=$A54)*(Diário!$F$5:$F$400=O54)*Diário!$A$5:$A$400)))))</f>
        <v/>
      </c>
      <c r="Q54" s="59" t="str">
        <f aca="false">IF(A54="","",IF(S54=0,"parcial",IF(L53=0,"n/d",L54/L53-1)))</f>
        <v/>
      </c>
      <c r="R54" s="59" t="str">
        <f aca="false">IF(A54="","",IF(S54=0,"parcial",IF(L42=0,"n/d",L54/L42-1)))</f>
        <v/>
      </c>
      <c r="S54" s="53" t="str">
        <f aca="false">IF(A54="","",IF(B54=DAY(EOMONTH(A54,0)),1,0))</f>
        <v/>
      </c>
    </row>
    <row r="55" customFormat="false" ht="15" hidden="false" customHeight="false" outlineLevel="0" collapsed="false">
      <c r="A55" s="52" t="str">
        <f aca="false">IF(A54="","",IF(EDATE(A54,1)&gt;MAX(MAX('Histórico diário'!$A$5:$A$642),MAX(Diário!$A$5:$A$400)),"",EDATE(A54,1)))</f>
        <v/>
      </c>
      <c r="B55" s="53" t="str">
        <f aca="false">IF(A55="","",COUNTIFS('Histórico diário'!$G$5:$G$642,A55)+COUNTIFS(Diário!$H$5:$H$400,A55))</f>
        <v/>
      </c>
      <c r="C55" s="53" t="str">
        <f aca="false">IF($A55="","",SUMIFS('Histórico diário'!$B$5:$B$642,'Histórico diário'!$G$5:$G$642,$A55)+SUMIFS(Diário!$B$5:$B$400,Diário!$H$5:$H$400,$A55))</f>
        <v/>
      </c>
      <c r="D55" s="53" t="str">
        <f aca="false">IF($A55="","",SUMIFS('Histórico diário'!$E$5:$E$642,'Histórico diário'!$G$5:$G$642,$A55)+SUMIFS(Diário!$E$5:$E$400,Diário!$H$5:$H$400,$A55))</f>
        <v/>
      </c>
      <c r="E55" s="53" t="str">
        <f aca="false">IF($A55="","",SUMIFS('Histórico diário'!$D$5:$D$642,'Histórico diário'!$G$5:$G$642,$A55)+SUMIFS(Diário!$D$5:$D$400,Diário!$H$5:$H$400,$A55))</f>
        <v/>
      </c>
      <c r="F55" s="53" t="str">
        <f aca="false">IF($A55="","",SUMIFS('Histórico diário'!$C$5:$C$642,'Histórico diário'!$G$5:$G$642,$A55)+SUMIFS(Diário!$C$5:$C$400,Diário!$H$5:$H$400,$A55))</f>
        <v/>
      </c>
      <c r="G55" s="54" t="str">
        <f aca="false">IF(A55="","",SUM(C55:F55))</f>
        <v/>
      </c>
      <c r="H55" s="55" t="str">
        <f aca="false">IF($A55="","",C55*IFERROR(INDEX('Tarifas por mês'!$B$5:$B$25,MATCH($A55,'Tarifas por mês'!$A$5:$A$25,0)),Premissas!$C$4))</f>
        <v/>
      </c>
      <c r="I55" s="55" t="str">
        <f aca="false">IF($A55="","",D55*IFERROR(INDEX('Tarifas por mês'!$C$5:$C$25,MATCH($A55,'Tarifas por mês'!$A$5:$A$25,0)),Premissas!$C$5))</f>
        <v/>
      </c>
      <c r="J55" s="55" t="str">
        <f aca="false">IF($A55="","",E55*IFERROR(INDEX('Tarifas por mês'!$D$5:$D$25,MATCH($A55,'Tarifas por mês'!$A$5:$A$25,0)),Premissas!$C$6))</f>
        <v/>
      </c>
      <c r="K55" s="55" t="str">
        <f aca="false">IF($A55="","",F55*IFERROR(INDEX('Tarifas por mês'!$E$5:$E$25,MATCH($A55,'Tarifas por mês'!$A$5:$A$25,0)),Premissas!$C$7))</f>
        <v/>
      </c>
      <c r="L55" s="56" t="str">
        <f aca="false">IF(A55="","",SUM(H55:K55))</f>
        <v/>
      </c>
      <c r="M55" s="57" t="str">
        <f aca="false">IF(A55="","",IF(G55=0,0,L55/G55))</f>
        <v/>
      </c>
      <c r="N55" s="53" t="str">
        <f aca="false">IF(A55="","",IF(B55=0,0,G55/B55))</f>
        <v/>
      </c>
      <c r="O55" s="53" t="str">
        <f aca="false">IF(A55="","",MAX(_xlfn.MAXIFS('Histórico diário'!$F$5:$F$642,'Histórico diário'!$G$5:$G$642,$A55),_xlfn.MAXIFS(Diário!$F$5:$F$400,Diário!$H$5:$H$400,$A55)))</f>
        <v/>
      </c>
      <c r="P55" s="58" t="str">
        <f aca="false">IF($A55="","",IF(O55=0,"",IF(_xlfn.MAXIFS('Histórico diário'!$F$5:$F$642,'Histórico diário'!$G$5:$G$642,$A55)&gt;=_xlfn.MAXIFS(Diário!$F$5:$F$400,Diário!$H$5:$H$400,$A55),SUMPRODUCT(MAX(('Histórico diário'!$G$5:$G$642=$A55)*('Histórico diário'!$F$5:$F$642=O55)*'Histórico diário'!$A$5:$A$642)),SUMPRODUCT(MAX((Diário!$H$5:$H$400=$A55)*(Diário!$F$5:$F$400=O55)*Diário!$A$5:$A$400)))))</f>
        <v/>
      </c>
      <c r="Q55" s="59" t="str">
        <f aca="false">IF(A55="","",IF(S55=0,"parcial",IF(L54=0,"n/d",L55/L54-1)))</f>
        <v/>
      </c>
      <c r="R55" s="59" t="str">
        <f aca="false">IF(A55="","",IF(S55=0,"parcial",IF(L43=0,"n/d",L55/L43-1)))</f>
        <v/>
      </c>
      <c r="S55" s="53" t="str">
        <f aca="false">IF(A55="","",IF(B55=DAY(EOMONTH(A55,0)),1,0))</f>
        <v/>
      </c>
    </row>
    <row r="56" customFormat="false" ht="15" hidden="false" customHeight="false" outlineLevel="0" collapsed="false">
      <c r="A56" s="52" t="str">
        <f aca="false">IF(A55="","",IF(EDATE(A55,1)&gt;MAX(MAX('Histórico diário'!$A$5:$A$642),MAX(Diário!$A$5:$A$400)),"",EDATE(A55,1)))</f>
        <v/>
      </c>
      <c r="B56" s="53" t="str">
        <f aca="false">IF(A56="","",COUNTIFS('Histórico diário'!$G$5:$G$642,A56)+COUNTIFS(Diário!$H$5:$H$400,A56))</f>
        <v/>
      </c>
      <c r="C56" s="53" t="str">
        <f aca="false">IF($A56="","",SUMIFS('Histórico diário'!$B$5:$B$642,'Histórico diário'!$G$5:$G$642,$A56)+SUMIFS(Diário!$B$5:$B$400,Diário!$H$5:$H$400,$A56))</f>
        <v/>
      </c>
      <c r="D56" s="53" t="str">
        <f aca="false">IF($A56="","",SUMIFS('Histórico diário'!$E$5:$E$642,'Histórico diário'!$G$5:$G$642,$A56)+SUMIFS(Diário!$E$5:$E$400,Diário!$H$5:$H$400,$A56))</f>
        <v/>
      </c>
      <c r="E56" s="53" t="str">
        <f aca="false">IF($A56="","",SUMIFS('Histórico diário'!$D$5:$D$642,'Histórico diário'!$G$5:$G$642,$A56)+SUMIFS(Diário!$D$5:$D$400,Diário!$H$5:$H$400,$A56))</f>
        <v/>
      </c>
      <c r="F56" s="53" t="str">
        <f aca="false">IF($A56="","",SUMIFS('Histórico diário'!$C$5:$C$642,'Histórico diário'!$G$5:$G$642,$A56)+SUMIFS(Diário!$C$5:$C$400,Diário!$H$5:$H$400,$A56))</f>
        <v/>
      </c>
      <c r="G56" s="54" t="str">
        <f aca="false">IF(A56="","",SUM(C56:F56))</f>
        <v/>
      </c>
      <c r="H56" s="55" t="str">
        <f aca="false">IF($A56="","",C56*IFERROR(INDEX('Tarifas por mês'!$B$5:$B$25,MATCH($A56,'Tarifas por mês'!$A$5:$A$25,0)),Premissas!$C$4))</f>
        <v/>
      </c>
      <c r="I56" s="55" t="str">
        <f aca="false">IF($A56="","",D56*IFERROR(INDEX('Tarifas por mês'!$C$5:$C$25,MATCH($A56,'Tarifas por mês'!$A$5:$A$25,0)),Premissas!$C$5))</f>
        <v/>
      </c>
      <c r="J56" s="55" t="str">
        <f aca="false">IF($A56="","",E56*IFERROR(INDEX('Tarifas por mês'!$D$5:$D$25,MATCH($A56,'Tarifas por mês'!$A$5:$A$25,0)),Premissas!$C$6))</f>
        <v/>
      </c>
      <c r="K56" s="55" t="str">
        <f aca="false">IF($A56="","",F56*IFERROR(INDEX('Tarifas por mês'!$E$5:$E$25,MATCH($A56,'Tarifas por mês'!$A$5:$A$25,0)),Premissas!$C$7))</f>
        <v/>
      </c>
      <c r="L56" s="56" t="str">
        <f aca="false">IF(A56="","",SUM(H56:K56))</f>
        <v/>
      </c>
      <c r="M56" s="57" t="str">
        <f aca="false">IF(A56="","",IF(G56=0,0,L56/G56))</f>
        <v/>
      </c>
      <c r="N56" s="53" t="str">
        <f aca="false">IF(A56="","",IF(B56=0,0,G56/B56))</f>
        <v/>
      </c>
      <c r="O56" s="53" t="str">
        <f aca="false">IF(A56="","",MAX(_xlfn.MAXIFS('Histórico diário'!$F$5:$F$642,'Histórico diário'!$G$5:$G$642,$A56),_xlfn.MAXIFS(Diário!$F$5:$F$400,Diário!$H$5:$H$400,$A56)))</f>
        <v/>
      </c>
      <c r="P56" s="58" t="str">
        <f aca="false">IF($A56="","",IF(O56=0,"",IF(_xlfn.MAXIFS('Histórico diário'!$F$5:$F$642,'Histórico diário'!$G$5:$G$642,$A56)&gt;=_xlfn.MAXIFS(Diário!$F$5:$F$400,Diário!$H$5:$H$400,$A56),SUMPRODUCT(MAX(('Histórico diário'!$G$5:$G$642=$A56)*('Histórico diário'!$F$5:$F$642=O56)*'Histórico diário'!$A$5:$A$642)),SUMPRODUCT(MAX((Diário!$H$5:$H$400=$A56)*(Diário!$F$5:$F$400=O56)*Diário!$A$5:$A$400)))))</f>
        <v/>
      </c>
      <c r="Q56" s="59" t="str">
        <f aca="false">IF(A56="","",IF(S56=0,"parcial",IF(L55=0,"n/d",L56/L55-1)))</f>
        <v/>
      </c>
      <c r="R56" s="59" t="str">
        <f aca="false">IF(A56="","",IF(S56=0,"parcial",IF(L44=0,"n/d",L56/L44-1)))</f>
        <v/>
      </c>
      <c r="S56" s="53" t="str">
        <f aca="false">IF(A56="","",IF(B56=DAY(EOMONTH(A56,0)),1,0))</f>
        <v/>
      </c>
    </row>
    <row r="57" customFormat="false" ht="15" hidden="false" customHeight="false" outlineLevel="0" collapsed="false">
      <c r="A57" s="52" t="str">
        <f aca="false">IF(A56="","",IF(EDATE(A56,1)&gt;MAX(MAX('Histórico diário'!$A$5:$A$642),MAX(Diário!$A$5:$A$400)),"",EDATE(A56,1)))</f>
        <v/>
      </c>
      <c r="B57" s="53" t="str">
        <f aca="false">IF(A57="","",COUNTIFS('Histórico diário'!$G$5:$G$642,A57)+COUNTIFS(Diário!$H$5:$H$400,A57))</f>
        <v/>
      </c>
      <c r="C57" s="53" t="str">
        <f aca="false">IF($A57="","",SUMIFS('Histórico diário'!$B$5:$B$642,'Histórico diário'!$G$5:$G$642,$A57)+SUMIFS(Diário!$B$5:$B$400,Diário!$H$5:$H$400,$A57))</f>
        <v/>
      </c>
      <c r="D57" s="53" t="str">
        <f aca="false">IF($A57="","",SUMIFS('Histórico diário'!$E$5:$E$642,'Histórico diário'!$G$5:$G$642,$A57)+SUMIFS(Diário!$E$5:$E$400,Diário!$H$5:$H$400,$A57))</f>
        <v/>
      </c>
      <c r="E57" s="53" t="str">
        <f aca="false">IF($A57="","",SUMIFS('Histórico diário'!$D$5:$D$642,'Histórico diário'!$G$5:$G$642,$A57)+SUMIFS(Diário!$D$5:$D$400,Diário!$H$5:$H$400,$A57))</f>
        <v/>
      </c>
      <c r="F57" s="53" t="str">
        <f aca="false">IF($A57="","",SUMIFS('Histórico diário'!$C$5:$C$642,'Histórico diário'!$G$5:$G$642,$A57)+SUMIFS(Diário!$C$5:$C$400,Diário!$H$5:$H$400,$A57))</f>
        <v/>
      </c>
      <c r="G57" s="54" t="str">
        <f aca="false">IF(A57="","",SUM(C57:F57))</f>
        <v/>
      </c>
      <c r="H57" s="55" t="str">
        <f aca="false">IF($A57="","",C57*IFERROR(INDEX('Tarifas por mês'!$B$5:$B$25,MATCH($A57,'Tarifas por mês'!$A$5:$A$25,0)),Premissas!$C$4))</f>
        <v/>
      </c>
      <c r="I57" s="55" t="str">
        <f aca="false">IF($A57="","",D57*IFERROR(INDEX('Tarifas por mês'!$C$5:$C$25,MATCH($A57,'Tarifas por mês'!$A$5:$A$25,0)),Premissas!$C$5))</f>
        <v/>
      </c>
      <c r="J57" s="55" t="str">
        <f aca="false">IF($A57="","",E57*IFERROR(INDEX('Tarifas por mês'!$D$5:$D$25,MATCH($A57,'Tarifas por mês'!$A$5:$A$25,0)),Premissas!$C$6))</f>
        <v/>
      </c>
      <c r="K57" s="55" t="str">
        <f aca="false">IF($A57="","",F57*IFERROR(INDEX('Tarifas por mês'!$E$5:$E$25,MATCH($A57,'Tarifas por mês'!$A$5:$A$25,0)),Premissas!$C$7))</f>
        <v/>
      </c>
      <c r="L57" s="56" t="str">
        <f aca="false">IF(A57="","",SUM(H57:K57))</f>
        <v/>
      </c>
      <c r="M57" s="57" t="str">
        <f aca="false">IF(A57="","",IF(G57=0,0,L57/G57))</f>
        <v/>
      </c>
      <c r="N57" s="53" t="str">
        <f aca="false">IF(A57="","",IF(B57=0,0,G57/B57))</f>
        <v/>
      </c>
      <c r="O57" s="53" t="str">
        <f aca="false">IF(A57="","",MAX(_xlfn.MAXIFS('Histórico diário'!$F$5:$F$642,'Histórico diário'!$G$5:$G$642,$A57),_xlfn.MAXIFS(Diário!$F$5:$F$400,Diário!$H$5:$H$400,$A57)))</f>
        <v/>
      </c>
      <c r="P57" s="58" t="str">
        <f aca="false">IF($A57="","",IF(O57=0,"",IF(_xlfn.MAXIFS('Histórico diário'!$F$5:$F$642,'Histórico diário'!$G$5:$G$642,$A57)&gt;=_xlfn.MAXIFS(Diário!$F$5:$F$400,Diário!$H$5:$H$400,$A57),SUMPRODUCT(MAX(('Histórico diário'!$G$5:$G$642=$A57)*('Histórico diário'!$F$5:$F$642=O57)*'Histórico diário'!$A$5:$A$642)),SUMPRODUCT(MAX((Diário!$H$5:$H$400=$A57)*(Diário!$F$5:$F$400=O57)*Diário!$A$5:$A$400)))))</f>
        <v/>
      </c>
      <c r="Q57" s="59" t="str">
        <f aca="false">IF(A57="","",IF(S57=0,"parcial",IF(L56=0,"n/d",L57/L56-1)))</f>
        <v/>
      </c>
      <c r="R57" s="59" t="str">
        <f aca="false">IF(A57="","",IF(S57=0,"parcial",IF(L45=0,"n/d",L57/L45-1)))</f>
        <v/>
      </c>
      <c r="S57" s="53" t="str">
        <f aca="false">IF(A57="","",IF(B57=DAY(EOMONTH(A57,0)),1,0))</f>
        <v/>
      </c>
    </row>
    <row r="58" customFormat="false" ht="15" hidden="false" customHeight="false" outlineLevel="0" collapsed="false">
      <c r="A58" s="52" t="str">
        <f aca="false">IF(A57="","",IF(EDATE(A57,1)&gt;MAX(MAX('Histórico diário'!$A$5:$A$642),MAX(Diário!$A$5:$A$400)),"",EDATE(A57,1)))</f>
        <v/>
      </c>
      <c r="B58" s="53" t="str">
        <f aca="false">IF(A58="","",COUNTIFS('Histórico diário'!$G$5:$G$642,A58)+COUNTIFS(Diário!$H$5:$H$400,A58))</f>
        <v/>
      </c>
      <c r="C58" s="53" t="str">
        <f aca="false">IF($A58="","",SUMIFS('Histórico diário'!$B$5:$B$642,'Histórico diário'!$G$5:$G$642,$A58)+SUMIFS(Diário!$B$5:$B$400,Diário!$H$5:$H$400,$A58))</f>
        <v/>
      </c>
      <c r="D58" s="53" t="str">
        <f aca="false">IF($A58="","",SUMIFS('Histórico diário'!$E$5:$E$642,'Histórico diário'!$G$5:$G$642,$A58)+SUMIFS(Diário!$E$5:$E$400,Diário!$H$5:$H$400,$A58))</f>
        <v/>
      </c>
      <c r="E58" s="53" t="str">
        <f aca="false">IF($A58="","",SUMIFS('Histórico diário'!$D$5:$D$642,'Histórico diário'!$G$5:$G$642,$A58)+SUMIFS(Diário!$D$5:$D$400,Diário!$H$5:$H$400,$A58))</f>
        <v/>
      </c>
      <c r="F58" s="53" t="str">
        <f aca="false">IF($A58="","",SUMIFS('Histórico diário'!$C$5:$C$642,'Histórico diário'!$G$5:$G$642,$A58)+SUMIFS(Diário!$C$5:$C$400,Diário!$H$5:$H$400,$A58))</f>
        <v/>
      </c>
      <c r="G58" s="54" t="str">
        <f aca="false">IF(A58="","",SUM(C58:F58))</f>
        <v/>
      </c>
      <c r="H58" s="55" t="str">
        <f aca="false">IF($A58="","",C58*IFERROR(INDEX('Tarifas por mês'!$B$5:$B$25,MATCH($A58,'Tarifas por mês'!$A$5:$A$25,0)),Premissas!$C$4))</f>
        <v/>
      </c>
      <c r="I58" s="55" t="str">
        <f aca="false">IF($A58="","",D58*IFERROR(INDEX('Tarifas por mês'!$C$5:$C$25,MATCH($A58,'Tarifas por mês'!$A$5:$A$25,0)),Premissas!$C$5))</f>
        <v/>
      </c>
      <c r="J58" s="55" t="str">
        <f aca="false">IF($A58="","",E58*IFERROR(INDEX('Tarifas por mês'!$D$5:$D$25,MATCH($A58,'Tarifas por mês'!$A$5:$A$25,0)),Premissas!$C$6))</f>
        <v/>
      </c>
      <c r="K58" s="55" t="str">
        <f aca="false">IF($A58="","",F58*IFERROR(INDEX('Tarifas por mês'!$E$5:$E$25,MATCH($A58,'Tarifas por mês'!$A$5:$A$25,0)),Premissas!$C$7))</f>
        <v/>
      </c>
      <c r="L58" s="56" t="str">
        <f aca="false">IF(A58="","",SUM(H58:K58))</f>
        <v/>
      </c>
      <c r="M58" s="57" t="str">
        <f aca="false">IF(A58="","",IF(G58=0,0,L58/G58))</f>
        <v/>
      </c>
      <c r="N58" s="53" t="str">
        <f aca="false">IF(A58="","",IF(B58=0,0,G58/B58))</f>
        <v/>
      </c>
      <c r="O58" s="53" t="str">
        <f aca="false">IF(A58="","",MAX(_xlfn.MAXIFS('Histórico diário'!$F$5:$F$642,'Histórico diário'!$G$5:$G$642,$A58),_xlfn.MAXIFS(Diário!$F$5:$F$400,Diário!$H$5:$H$400,$A58)))</f>
        <v/>
      </c>
      <c r="P58" s="58" t="str">
        <f aca="false">IF($A58="","",IF(O58=0,"",IF(_xlfn.MAXIFS('Histórico diário'!$F$5:$F$642,'Histórico diário'!$G$5:$G$642,$A58)&gt;=_xlfn.MAXIFS(Diário!$F$5:$F$400,Diário!$H$5:$H$400,$A58),SUMPRODUCT(MAX(('Histórico diário'!$G$5:$G$642=$A58)*('Histórico diário'!$F$5:$F$642=O58)*'Histórico diário'!$A$5:$A$642)),SUMPRODUCT(MAX((Diário!$H$5:$H$400=$A58)*(Diário!$F$5:$F$400=O58)*Diário!$A$5:$A$400)))))</f>
        <v/>
      </c>
      <c r="Q58" s="59" t="str">
        <f aca="false">IF(A58="","",IF(S58=0,"parcial",IF(L57=0,"n/d",L58/L57-1)))</f>
        <v/>
      </c>
      <c r="R58" s="59" t="str">
        <f aca="false">IF(A58="","",IF(S58=0,"parcial",IF(L46=0,"n/d",L58/L46-1)))</f>
        <v/>
      </c>
      <c r="S58" s="53" t="str">
        <f aca="false">IF(A58="","",IF(B58=DAY(EOMONTH(A58,0)),1,0))</f>
        <v/>
      </c>
    </row>
    <row r="59" customFormat="false" ht="15" hidden="false" customHeight="false" outlineLevel="0" collapsed="false">
      <c r="A59" s="52" t="str">
        <f aca="false">IF(A58="","",IF(EDATE(A58,1)&gt;MAX(MAX('Histórico diário'!$A$5:$A$642),MAX(Diário!$A$5:$A$400)),"",EDATE(A58,1)))</f>
        <v/>
      </c>
      <c r="B59" s="53" t="str">
        <f aca="false">IF(A59="","",COUNTIFS('Histórico diário'!$G$5:$G$642,A59)+COUNTIFS(Diário!$H$5:$H$400,A59))</f>
        <v/>
      </c>
      <c r="C59" s="53" t="str">
        <f aca="false">IF($A59="","",SUMIFS('Histórico diário'!$B$5:$B$642,'Histórico diário'!$G$5:$G$642,$A59)+SUMIFS(Diário!$B$5:$B$400,Diário!$H$5:$H$400,$A59))</f>
        <v/>
      </c>
      <c r="D59" s="53" t="str">
        <f aca="false">IF($A59="","",SUMIFS('Histórico diário'!$E$5:$E$642,'Histórico diário'!$G$5:$G$642,$A59)+SUMIFS(Diário!$E$5:$E$400,Diário!$H$5:$H$400,$A59))</f>
        <v/>
      </c>
      <c r="E59" s="53" t="str">
        <f aca="false">IF($A59="","",SUMIFS('Histórico diário'!$D$5:$D$642,'Histórico diário'!$G$5:$G$642,$A59)+SUMIFS(Diário!$D$5:$D$400,Diário!$H$5:$H$400,$A59))</f>
        <v/>
      </c>
      <c r="F59" s="53" t="str">
        <f aca="false">IF($A59="","",SUMIFS('Histórico diário'!$C$5:$C$642,'Histórico diário'!$G$5:$G$642,$A59)+SUMIFS(Diário!$C$5:$C$400,Diário!$H$5:$H$400,$A59))</f>
        <v/>
      </c>
      <c r="G59" s="54" t="str">
        <f aca="false">IF(A59="","",SUM(C59:F59))</f>
        <v/>
      </c>
      <c r="H59" s="55" t="str">
        <f aca="false">IF($A59="","",C59*IFERROR(INDEX('Tarifas por mês'!$B$5:$B$25,MATCH($A59,'Tarifas por mês'!$A$5:$A$25,0)),Premissas!$C$4))</f>
        <v/>
      </c>
      <c r="I59" s="55" t="str">
        <f aca="false">IF($A59="","",D59*IFERROR(INDEX('Tarifas por mês'!$C$5:$C$25,MATCH($A59,'Tarifas por mês'!$A$5:$A$25,0)),Premissas!$C$5))</f>
        <v/>
      </c>
      <c r="J59" s="55" t="str">
        <f aca="false">IF($A59="","",E59*IFERROR(INDEX('Tarifas por mês'!$D$5:$D$25,MATCH($A59,'Tarifas por mês'!$A$5:$A$25,0)),Premissas!$C$6))</f>
        <v/>
      </c>
      <c r="K59" s="55" t="str">
        <f aca="false">IF($A59="","",F59*IFERROR(INDEX('Tarifas por mês'!$E$5:$E$25,MATCH($A59,'Tarifas por mês'!$A$5:$A$25,0)),Premissas!$C$7))</f>
        <v/>
      </c>
      <c r="L59" s="56" t="str">
        <f aca="false">IF(A59="","",SUM(H59:K59))</f>
        <v/>
      </c>
      <c r="M59" s="57" t="str">
        <f aca="false">IF(A59="","",IF(G59=0,0,L59/G59))</f>
        <v/>
      </c>
      <c r="N59" s="53" t="str">
        <f aca="false">IF(A59="","",IF(B59=0,0,G59/B59))</f>
        <v/>
      </c>
      <c r="O59" s="53" t="str">
        <f aca="false">IF(A59="","",MAX(_xlfn.MAXIFS('Histórico diário'!$F$5:$F$642,'Histórico diário'!$G$5:$G$642,$A59),_xlfn.MAXIFS(Diário!$F$5:$F$400,Diário!$H$5:$H$400,$A59)))</f>
        <v/>
      </c>
      <c r="P59" s="58" t="str">
        <f aca="false">IF($A59="","",IF(O59=0,"",IF(_xlfn.MAXIFS('Histórico diário'!$F$5:$F$642,'Histórico diário'!$G$5:$G$642,$A59)&gt;=_xlfn.MAXIFS(Diário!$F$5:$F$400,Diário!$H$5:$H$400,$A59),SUMPRODUCT(MAX(('Histórico diário'!$G$5:$G$642=$A59)*('Histórico diário'!$F$5:$F$642=O59)*'Histórico diário'!$A$5:$A$642)),SUMPRODUCT(MAX((Diário!$H$5:$H$400=$A59)*(Diário!$F$5:$F$400=O59)*Diário!$A$5:$A$400)))))</f>
        <v/>
      </c>
      <c r="Q59" s="59" t="str">
        <f aca="false">IF(A59="","",IF(S59=0,"parcial",IF(L58=0,"n/d",L59/L58-1)))</f>
        <v/>
      </c>
      <c r="R59" s="59" t="str">
        <f aca="false">IF(A59="","",IF(S59=0,"parcial",IF(L47=0,"n/d",L59/L47-1)))</f>
        <v/>
      </c>
      <c r="S59" s="53" t="str">
        <f aca="false">IF(A59="","",IF(B59=DAY(EOMONTH(A59,0)),1,0))</f>
        <v/>
      </c>
    </row>
    <row r="60" customFormat="false" ht="15" hidden="false" customHeight="false" outlineLevel="0" collapsed="false">
      <c r="A60" s="52" t="str">
        <f aca="false">IF(A59="","",IF(EDATE(A59,1)&gt;MAX(MAX('Histórico diário'!$A$5:$A$642),MAX(Diário!$A$5:$A$400)),"",EDATE(A59,1)))</f>
        <v/>
      </c>
      <c r="B60" s="53" t="str">
        <f aca="false">IF(A60="","",COUNTIFS('Histórico diário'!$G$5:$G$642,A60)+COUNTIFS(Diário!$H$5:$H$400,A60))</f>
        <v/>
      </c>
      <c r="C60" s="53" t="str">
        <f aca="false">IF($A60="","",SUMIFS('Histórico diário'!$B$5:$B$642,'Histórico diário'!$G$5:$G$642,$A60)+SUMIFS(Diário!$B$5:$B$400,Diário!$H$5:$H$400,$A60))</f>
        <v/>
      </c>
      <c r="D60" s="53" t="str">
        <f aca="false">IF($A60="","",SUMIFS('Histórico diário'!$E$5:$E$642,'Histórico diário'!$G$5:$G$642,$A60)+SUMIFS(Diário!$E$5:$E$400,Diário!$H$5:$H$400,$A60))</f>
        <v/>
      </c>
      <c r="E60" s="53" t="str">
        <f aca="false">IF($A60="","",SUMIFS('Histórico diário'!$D$5:$D$642,'Histórico diário'!$G$5:$G$642,$A60)+SUMIFS(Diário!$D$5:$D$400,Diário!$H$5:$H$400,$A60))</f>
        <v/>
      </c>
      <c r="F60" s="53" t="str">
        <f aca="false">IF($A60="","",SUMIFS('Histórico diário'!$C$5:$C$642,'Histórico diário'!$G$5:$G$642,$A60)+SUMIFS(Diário!$C$5:$C$400,Diário!$H$5:$H$400,$A60))</f>
        <v/>
      </c>
      <c r="G60" s="54" t="str">
        <f aca="false">IF(A60="","",SUM(C60:F60))</f>
        <v/>
      </c>
      <c r="H60" s="55" t="str">
        <f aca="false">IF($A60="","",C60*IFERROR(INDEX('Tarifas por mês'!$B$5:$B$25,MATCH($A60,'Tarifas por mês'!$A$5:$A$25,0)),Premissas!$C$4))</f>
        <v/>
      </c>
      <c r="I60" s="55" t="str">
        <f aca="false">IF($A60="","",D60*IFERROR(INDEX('Tarifas por mês'!$C$5:$C$25,MATCH($A60,'Tarifas por mês'!$A$5:$A$25,0)),Premissas!$C$5))</f>
        <v/>
      </c>
      <c r="J60" s="55" t="str">
        <f aca="false">IF($A60="","",E60*IFERROR(INDEX('Tarifas por mês'!$D$5:$D$25,MATCH($A60,'Tarifas por mês'!$A$5:$A$25,0)),Premissas!$C$6))</f>
        <v/>
      </c>
      <c r="K60" s="55" t="str">
        <f aca="false">IF($A60="","",F60*IFERROR(INDEX('Tarifas por mês'!$E$5:$E$25,MATCH($A60,'Tarifas por mês'!$A$5:$A$25,0)),Premissas!$C$7))</f>
        <v/>
      </c>
      <c r="L60" s="56" t="str">
        <f aca="false">IF(A60="","",SUM(H60:K60))</f>
        <v/>
      </c>
      <c r="M60" s="57" t="str">
        <f aca="false">IF(A60="","",IF(G60=0,0,L60/G60))</f>
        <v/>
      </c>
      <c r="N60" s="53" t="str">
        <f aca="false">IF(A60="","",IF(B60=0,0,G60/B60))</f>
        <v/>
      </c>
      <c r="O60" s="53" t="str">
        <f aca="false">IF(A60="","",MAX(_xlfn.MAXIFS('Histórico diário'!$F$5:$F$642,'Histórico diário'!$G$5:$G$642,$A60),_xlfn.MAXIFS(Diário!$F$5:$F$400,Diário!$H$5:$H$400,$A60)))</f>
        <v/>
      </c>
      <c r="P60" s="58" t="str">
        <f aca="false">IF($A60="","",IF(O60=0,"",IF(_xlfn.MAXIFS('Histórico diário'!$F$5:$F$642,'Histórico diário'!$G$5:$G$642,$A60)&gt;=_xlfn.MAXIFS(Diário!$F$5:$F$400,Diário!$H$5:$H$400,$A60),SUMPRODUCT(MAX(('Histórico diário'!$G$5:$G$642=$A60)*('Histórico diário'!$F$5:$F$642=O60)*'Histórico diário'!$A$5:$A$642)),SUMPRODUCT(MAX((Diário!$H$5:$H$400=$A60)*(Diário!$F$5:$F$400=O60)*Diário!$A$5:$A$400)))))</f>
        <v/>
      </c>
      <c r="Q60" s="59" t="str">
        <f aca="false">IF(A60="","",IF(S60=0,"parcial",IF(L59=0,"n/d",L60/L59-1)))</f>
        <v/>
      </c>
      <c r="R60" s="59" t="str">
        <f aca="false">IF(A60="","",IF(S60=0,"parcial",IF(L48=0,"n/d",L60/L48-1)))</f>
        <v/>
      </c>
      <c r="S60" s="53" t="str">
        <f aca="false">IF(A60="","",IF(B60=DAY(EOMONTH(A60,0)),1,0))</f>
        <v/>
      </c>
    </row>
    <row r="61" customFormat="false" ht="15" hidden="false" customHeight="false" outlineLevel="0" collapsed="false">
      <c r="A61" s="52" t="str">
        <f aca="false">IF(A60="","",IF(EDATE(A60,1)&gt;MAX(MAX('Histórico diário'!$A$5:$A$642),MAX(Diário!$A$5:$A$400)),"",EDATE(A60,1)))</f>
        <v/>
      </c>
      <c r="B61" s="53" t="str">
        <f aca="false">IF(A61="","",COUNTIFS('Histórico diário'!$G$5:$G$642,A61)+COUNTIFS(Diário!$H$5:$H$400,A61))</f>
        <v/>
      </c>
      <c r="C61" s="53" t="str">
        <f aca="false">IF($A61="","",SUMIFS('Histórico diário'!$B$5:$B$642,'Histórico diário'!$G$5:$G$642,$A61)+SUMIFS(Diário!$B$5:$B$400,Diário!$H$5:$H$400,$A61))</f>
        <v/>
      </c>
      <c r="D61" s="53" t="str">
        <f aca="false">IF($A61="","",SUMIFS('Histórico diário'!$E$5:$E$642,'Histórico diário'!$G$5:$G$642,$A61)+SUMIFS(Diário!$E$5:$E$400,Diário!$H$5:$H$400,$A61))</f>
        <v/>
      </c>
      <c r="E61" s="53" t="str">
        <f aca="false">IF($A61="","",SUMIFS('Histórico diário'!$D$5:$D$642,'Histórico diário'!$G$5:$G$642,$A61)+SUMIFS(Diário!$D$5:$D$400,Diário!$H$5:$H$400,$A61))</f>
        <v/>
      </c>
      <c r="F61" s="53" t="str">
        <f aca="false">IF($A61="","",SUMIFS('Histórico diário'!$C$5:$C$642,'Histórico diário'!$G$5:$G$642,$A61)+SUMIFS(Diário!$C$5:$C$400,Diário!$H$5:$H$400,$A61))</f>
        <v/>
      </c>
      <c r="G61" s="54" t="str">
        <f aca="false">IF(A61="","",SUM(C61:F61))</f>
        <v/>
      </c>
      <c r="H61" s="55" t="str">
        <f aca="false">IF($A61="","",C61*IFERROR(INDEX('Tarifas por mês'!$B$5:$B$25,MATCH($A61,'Tarifas por mês'!$A$5:$A$25,0)),Premissas!$C$4))</f>
        <v/>
      </c>
      <c r="I61" s="55" t="str">
        <f aca="false">IF($A61="","",D61*IFERROR(INDEX('Tarifas por mês'!$C$5:$C$25,MATCH($A61,'Tarifas por mês'!$A$5:$A$25,0)),Premissas!$C$5))</f>
        <v/>
      </c>
      <c r="J61" s="55" t="str">
        <f aca="false">IF($A61="","",E61*IFERROR(INDEX('Tarifas por mês'!$D$5:$D$25,MATCH($A61,'Tarifas por mês'!$A$5:$A$25,0)),Premissas!$C$6))</f>
        <v/>
      </c>
      <c r="K61" s="55" t="str">
        <f aca="false">IF($A61="","",F61*IFERROR(INDEX('Tarifas por mês'!$E$5:$E$25,MATCH($A61,'Tarifas por mês'!$A$5:$A$25,0)),Premissas!$C$7))</f>
        <v/>
      </c>
      <c r="L61" s="56" t="str">
        <f aca="false">IF(A61="","",SUM(H61:K61))</f>
        <v/>
      </c>
      <c r="M61" s="57" t="str">
        <f aca="false">IF(A61="","",IF(G61=0,0,L61/G61))</f>
        <v/>
      </c>
      <c r="N61" s="53" t="str">
        <f aca="false">IF(A61="","",IF(B61=0,0,G61/B61))</f>
        <v/>
      </c>
      <c r="O61" s="53" t="str">
        <f aca="false">IF(A61="","",MAX(_xlfn.MAXIFS('Histórico diário'!$F$5:$F$642,'Histórico diário'!$G$5:$G$642,$A61),_xlfn.MAXIFS(Diário!$F$5:$F$400,Diário!$H$5:$H$400,$A61)))</f>
        <v/>
      </c>
      <c r="P61" s="58" t="str">
        <f aca="false">IF($A61="","",IF(O61=0,"",IF(_xlfn.MAXIFS('Histórico diário'!$F$5:$F$642,'Histórico diário'!$G$5:$G$642,$A61)&gt;=_xlfn.MAXIFS(Diário!$F$5:$F$400,Diário!$H$5:$H$400,$A61),SUMPRODUCT(MAX(('Histórico diário'!$G$5:$G$642=$A61)*('Histórico diário'!$F$5:$F$642=O61)*'Histórico diário'!$A$5:$A$642)),SUMPRODUCT(MAX((Diário!$H$5:$H$400=$A61)*(Diário!$F$5:$F$400=O61)*Diário!$A$5:$A$400)))))</f>
        <v/>
      </c>
      <c r="Q61" s="59" t="str">
        <f aca="false">IF(A61="","",IF(S61=0,"parcial",IF(L60=0,"n/d",L61/L60-1)))</f>
        <v/>
      </c>
      <c r="R61" s="59" t="str">
        <f aca="false">IF(A61="","",IF(S61=0,"parcial",IF(L49=0,"n/d",L61/L49-1)))</f>
        <v/>
      </c>
      <c r="S61" s="53" t="str">
        <f aca="false">IF(A61="","",IF(B61=DAY(EOMONTH(A61,0)),1,0))</f>
        <v/>
      </c>
    </row>
  </sheetData>
  <mergeCells count="3">
    <mergeCell ref="A2:L2"/>
    <mergeCell ref="C12:G12"/>
    <mergeCell ref="H12:L12"/>
  </mergeCells>
  <conditionalFormatting sqref="A14:S61">
    <cfRule type="expression" priority="2" aboveAverage="0" equalAverage="0" bottom="0" percent="0" rank="0" text="" dxfId="0">
      <formula>AND($A14&lt;&gt;"",$S14=0)</formula>
    </cfRule>
    <cfRule type="expression" priority="3" aboveAverage="0" equalAverage="0" bottom="0" percent="0" rank="0" text="" dxfId="1">
      <formula>$A14&lt;&gt;""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38" t="s">
        <v>62</v>
      </c>
    </row>
    <row r="2" customFormat="false" ht="15" hidden="false" customHeight="false" outlineLevel="0" collapsed="false">
      <c r="A2" s="20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38" t="s">
        <v>64</v>
      </c>
    </row>
    <row r="2" customFormat="false" ht="51.75" hidden="false" customHeight="true" outlineLevel="0" collapsed="false">
      <c r="A2" s="39" t="s">
        <v>65</v>
      </c>
      <c r="B2" s="39"/>
      <c r="C2" s="39"/>
      <c r="D2" s="39"/>
      <c r="E2" s="39"/>
    </row>
    <row r="4" customFormat="false" ht="31.5" hidden="false" customHeight="true" outlineLevel="0" collapsed="false">
      <c r="A4" s="12" t="s">
        <v>25</v>
      </c>
      <c r="B4" s="12" t="s">
        <v>66</v>
      </c>
      <c r="C4" s="12" t="s">
        <v>67</v>
      </c>
      <c r="D4" s="12" t="s">
        <v>68</v>
      </c>
      <c r="E4" s="12" t="s">
        <v>69</v>
      </c>
    </row>
    <row r="5" customFormat="false" ht="15" hidden="false" customHeight="false" outlineLevel="0" collapsed="false">
      <c r="A5" s="60" t="n">
        <v>45658</v>
      </c>
      <c r="B5" s="61" t="n">
        <v>0.09</v>
      </c>
      <c r="C5" s="61" t="n">
        <v>0.54</v>
      </c>
      <c r="D5" s="61" t="n">
        <v>0.6</v>
      </c>
      <c r="E5" s="61" t="n">
        <v>0</v>
      </c>
    </row>
    <row r="6" customFormat="false" ht="15" hidden="false" customHeight="false" outlineLevel="0" collapsed="false">
      <c r="A6" s="60" t="n">
        <v>45689</v>
      </c>
      <c r="B6" s="61" t="n">
        <v>0.09</v>
      </c>
      <c r="C6" s="61" t="n">
        <v>0.54</v>
      </c>
      <c r="D6" s="61" t="n">
        <v>0.6</v>
      </c>
      <c r="E6" s="61" t="n">
        <v>0</v>
      </c>
    </row>
    <row r="7" customFormat="false" ht="15" hidden="false" customHeight="false" outlineLevel="0" collapsed="false">
      <c r="A7" s="60" t="n">
        <v>45717</v>
      </c>
      <c r="B7" s="61" t="n">
        <v>0.09</v>
      </c>
      <c r="C7" s="61" t="n">
        <v>0.54</v>
      </c>
      <c r="D7" s="61" t="n">
        <v>0.6</v>
      </c>
      <c r="E7" s="61" t="n">
        <v>0</v>
      </c>
    </row>
    <row r="8" customFormat="false" ht="15" hidden="false" customHeight="false" outlineLevel="0" collapsed="false">
      <c r="A8" s="60" t="n">
        <v>45748</v>
      </c>
      <c r="B8" s="61" t="n">
        <v>0.09</v>
      </c>
      <c r="C8" s="61" t="n">
        <v>0.54</v>
      </c>
      <c r="D8" s="61" t="n">
        <v>0.6</v>
      </c>
      <c r="E8" s="61" t="n">
        <v>0</v>
      </c>
    </row>
    <row r="9" customFormat="false" ht="15" hidden="false" customHeight="false" outlineLevel="0" collapsed="false">
      <c r="A9" s="60" t="n">
        <v>45778</v>
      </c>
      <c r="B9" s="61" t="n">
        <v>0.09</v>
      </c>
      <c r="C9" s="61" t="n">
        <v>0.54</v>
      </c>
      <c r="D9" s="61" t="n">
        <v>0.6</v>
      </c>
      <c r="E9" s="61" t="n">
        <v>0</v>
      </c>
    </row>
    <row r="10" customFormat="false" ht="15" hidden="false" customHeight="false" outlineLevel="0" collapsed="false">
      <c r="A10" s="60" t="n">
        <v>45809</v>
      </c>
      <c r="B10" s="61" t="n">
        <v>0.09</v>
      </c>
      <c r="C10" s="61" t="n">
        <v>0.54</v>
      </c>
      <c r="D10" s="61" t="n">
        <v>0.6</v>
      </c>
      <c r="E10" s="61" t="n">
        <v>0</v>
      </c>
    </row>
    <row r="11" customFormat="false" ht="15" hidden="false" customHeight="false" outlineLevel="0" collapsed="false">
      <c r="A11" s="60" t="n">
        <v>45839</v>
      </c>
      <c r="B11" s="61" t="n">
        <v>0.09</v>
      </c>
      <c r="C11" s="61" t="n">
        <v>0.54</v>
      </c>
      <c r="D11" s="61" t="n">
        <v>0.6</v>
      </c>
      <c r="E11" s="61" t="n">
        <v>0</v>
      </c>
    </row>
    <row r="12" customFormat="false" ht="15" hidden="false" customHeight="false" outlineLevel="0" collapsed="false">
      <c r="A12" s="60" t="n">
        <v>45870</v>
      </c>
      <c r="B12" s="61" t="n">
        <v>0.09</v>
      </c>
      <c r="C12" s="61" t="n">
        <v>0.54</v>
      </c>
      <c r="D12" s="61" t="n">
        <v>0.6</v>
      </c>
      <c r="E12" s="61" t="n">
        <v>0</v>
      </c>
    </row>
    <row r="13" customFormat="false" ht="15" hidden="false" customHeight="false" outlineLevel="0" collapsed="false">
      <c r="A13" s="60" t="n">
        <v>45901</v>
      </c>
      <c r="B13" s="61" t="n">
        <v>0.09</v>
      </c>
      <c r="C13" s="61" t="n">
        <v>0.54</v>
      </c>
      <c r="D13" s="61" t="n">
        <v>0.6</v>
      </c>
      <c r="E13" s="61" t="n">
        <v>0</v>
      </c>
    </row>
    <row r="14" customFormat="false" ht="15" hidden="false" customHeight="false" outlineLevel="0" collapsed="false">
      <c r="A14" s="60" t="n">
        <v>45931</v>
      </c>
      <c r="B14" s="61" t="n">
        <v>0.09</v>
      </c>
      <c r="C14" s="61" t="n">
        <v>0.54</v>
      </c>
      <c r="D14" s="61" t="n">
        <v>0.6</v>
      </c>
      <c r="E14" s="61" t="n">
        <v>0</v>
      </c>
    </row>
    <row r="15" customFormat="false" ht="15" hidden="false" customHeight="false" outlineLevel="0" collapsed="false">
      <c r="A15" s="60" t="n">
        <v>45962</v>
      </c>
      <c r="B15" s="61" t="n">
        <v>0.09</v>
      </c>
      <c r="C15" s="61" t="n">
        <v>0.54</v>
      </c>
      <c r="D15" s="61" t="n">
        <v>0.6</v>
      </c>
      <c r="E15" s="61" t="n">
        <v>0</v>
      </c>
    </row>
    <row r="16" customFormat="false" ht="15" hidden="false" customHeight="false" outlineLevel="0" collapsed="false">
      <c r="A16" s="60" t="n">
        <v>45992</v>
      </c>
      <c r="B16" s="61" t="n">
        <v>0.09</v>
      </c>
      <c r="C16" s="61" t="n">
        <v>0.54</v>
      </c>
      <c r="D16" s="61" t="n">
        <v>0.6</v>
      </c>
      <c r="E16" s="61" t="n">
        <v>0</v>
      </c>
    </row>
    <row r="17" customFormat="false" ht="15" hidden="false" customHeight="false" outlineLevel="0" collapsed="false">
      <c r="A17" s="60" t="n">
        <v>46023</v>
      </c>
      <c r="B17" s="61" t="n">
        <v>0.09</v>
      </c>
      <c r="C17" s="61" t="n">
        <v>0.54</v>
      </c>
      <c r="D17" s="61" t="n">
        <v>0.6</v>
      </c>
      <c r="E17" s="61" t="n">
        <v>0</v>
      </c>
    </row>
    <row r="18" customFormat="false" ht="15" hidden="false" customHeight="false" outlineLevel="0" collapsed="false">
      <c r="A18" s="60" t="n">
        <v>46054</v>
      </c>
      <c r="B18" s="61" t="n">
        <v>0.09</v>
      </c>
      <c r="C18" s="61" t="n">
        <v>0.54</v>
      </c>
      <c r="D18" s="61" t="n">
        <v>0.6</v>
      </c>
      <c r="E18" s="61" t="n">
        <v>0</v>
      </c>
    </row>
    <row r="19" customFormat="false" ht="15" hidden="false" customHeight="false" outlineLevel="0" collapsed="false">
      <c r="A19" s="60" t="n">
        <v>46082</v>
      </c>
      <c r="B19" s="61" t="n">
        <v>0.09</v>
      </c>
      <c r="C19" s="61" t="n">
        <v>0.54</v>
      </c>
      <c r="D19" s="61" t="n">
        <v>0.6</v>
      </c>
      <c r="E19" s="61" t="n">
        <v>0</v>
      </c>
    </row>
    <row r="20" customFormat="false" ht="15" hidden="false" customHeight="false" outlineLevel="0" collapsed="false">
      <c r="A20" s="60" t="n">
        <v>46113</v>
      </c>
      <c r="B20" s="61" t="n">
        <v>0.09</v>
      </c>
      <c r="C20" s="61" t="n">
        <v>0.54</v>
      </c>
      <c r="D20" s="61" t="n">
        <v>0.6</v>
      </c>
      <c r="E20" s="61" t="n">
        <v>0</v>
      </c>
    </row>
    <row r="21" customFormat="false" ht="15" hidden="false" customHeight="false" outlineLevel="0" collapsed="false">
      <c r="A21" s="60" t="n">
        <v>46143</v>
      </c>
      <c r="B21" s="61" t="n">
        <v>0.09</v>
      </c>
      <c r="C21" s="61" t="n">
        <v>0.54</v>
      </c>
      <c r="D21" s="61" t="n">
        <v>0.6</v>
      </c>
      <c r="E21" s="61" t="n">
        <v>0</v>
      </c>
    </row>
    <row r="22" customFormat="false" ht="15" hidden="false" customHeight="false" outlineLevel="0" collapsed="false">
      <c r="A22" s="60" t="n">
        <v>46174</v>
      </c>
      <c r="B22" s="61" t="n">
        <v>0.09</v>
      </c>
      <c r="C22" s="61" t="n">
        <v>0.54</v>
      </c>
      <c r="D22" s="61" t="n">
        <v>0.6</v>
      </c>
      <c r="E22" s="61" t="n">
        <v>0</v>
      </c>
    </row>
    <row r="23" customFormat="false" ht="15" hidden="false" customHeight="false" outlineLevel="0" collapsed="false">
      <c r="A23" s="60" t="n">
        <v>46204</v>
      </c>
      <c r="B23" s="61" t="n">
        <v>0.09</v>
      </c>
      <c r="C23" s="61" t="n">
        <v>0.54</v>
      </c>
      <c r="D23" s="61" t="n">
        <v>0.6</v>
      </c>
      <c r="E23" s="61" t="n">
        <v>0</v>
      </c>
    </row>
    <row r="24" customFormat="false" ht="15" hidden="false" customHeight="false" outlineLevel="0" collapsed="false">
      <c r="A24" s="60" t="n">
        <v>46235</v>
      </c>
      <c r="B24" s="61" t="n">
        <v>0.09</v>
      </c>
      <c r="C24" s="61" t="n">
        <v>0.54</v>
      </c>
      <c r="D24" s="61" t="n">
        <v>0.6</v>
      </c>
      <c r="E24" s="61" t="n">
        <v>0</v>
      </c>
    </row>
    <row r="25" customFormat="false" ht="15" hidden="false" customHeight="false" outlineLevel="0" collapsed="false">
      <c r="A25" s="60" t="n">
        <v>46266</v>
      </c>
      <c r="B25" s="61" t="n">
        <v>0.09</v>
      </c>
      <c r="C25" s="61" t="n">
        <v>0.54</v>
      </c>
      <c r="D25" s="61" t="n">
        <v>0.6</v>
      </c>
      <c r="E25" s="61" t="n">
        <v>0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3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38" t="s">
        <v>70</v>
      </c>
    </row>
    <row r="2" customFormat="false" ht="39.75" hidden="false" customHeight="true" outlineLevel="0" collapsed="false">
      <c r="A2" s="39" t="s">
        <v>71</v>
      </c>
      <c r="B2" s="39"/>
      <c r="C2" s="39"/>
      <c r="D2" s="39"/>
      <c r="E2" s="39"/>
      <c r="F2" s="39"/>
      <c r="G2" s="39"/>
      <c r="H2" s="39"/>
      <c r="I2" s="39"/>
      <c r="J2" s="39"/>
    </row>
    <row r="4" customFormat="false" ht="42" hidden="false" customHeight="true" outlineLevel="0" collapsed="false">
      <c r="A4" s="12" t="s">
        <v>22</v>
      </c>
      <c r="B4" s="12" t="s">
        <v>3</v>
      </c>
      <c r="C4" s="12" t="s">
        <v>6</v>
      </c>
      <c r="D4" s="12" t="s">
        <v>5</v>
      </c>
      <c r="E4" s="12" t="s">
        <v>4</v>
      </c>
      <c r="F4" s="12" t="s">
        <v>54</v>
      </c>
      <c r="G4" s="12" t="s">
        <v>25</v>
      </c>
      <c r="H4" s="12" t="s">
        <v>72</v>
      </c>
      <c r="I4" s="12" t="s">
        <v>73</v>
      </c>
      <c r="J4" s="12" t="s">
        <v>74</v>
      </c>
    </row>
    <row r="5" customFormat="false" ht="15" hidden="false" customHeight="false" outlineLevel="0" collapsed="false">
      <c r="A5" s="62" t="n">
        <v>45658</v>
      </c>
      <c r="B5" s="63" t="n">
        <v>0</v>
      </c>
      <c r="C5" s="63" t="n">
        <v>0</v>
      </c>
      <c r="D5" s="63" t="n">
        <v>2</v>
      </c>
      <c r="E5" s="63" t="n">
        <v>0</v>
      </c>
      <c r="F5" s="43" t="n">
        <f aca="false">SUM(B5:E5)</f>
        <v>2</v>
      </c>
      <c r="G5" s="60" t="n">
        <f aca="false">DATE(YEAR(A5),MONTH(A5),1)</f>
        <v>45658</v>
      </c>
      <c r="H5" s="63" t="n">
        <v>3</v>
      </c>
      <c r="I5" s="63" t="n">
        <v>0</v>
      </c>
      <c r="J5" s="43" t="n">
        <f aca="false">H5+I5</f>
        <v>3</v>
      </c>
    </row>
    <row r="6" customFormat="false" ht="15" hidden="false" customHeight="false" outlineLevel="0" collapsed="false">
      <c r="A6" s="62" t="n">
        <v>45659</v>
      </c>
      <c r="B6" s="63" t="n">
        <v>0</v>
      </c>
      <c r="C6" s="63" t="n">
        <v>0</v>
      </c>
      <c r="D6" s="63" t="n">
        <v>4</v>
      </c>
      <c r="E6" s="63" t="n">
        <v>0</v>
      </c>
      <c r="F6" s="43" t="n">
        <f aca="false">SUM(B6:E6)</f>
        <v>4</v>
      </c>
      <c r="G6" s="60" t="n">
        <f aca="false">DATE(YEAR(A6),MONTH(A6),1)</f>
        <v>45658</v>
      </c>
      <c r="H6" s="63" t="n">
        <v>2</v>
      </c>
      <c r="I6" s="63" t="n">
        <v>0</v>
      </c>
      <c r="J6" s="43" t="n">
        <f aca="false">H6+I6</f>
        <v>2</v>
      </c>
    </row>
    <row r="7" customFormat="false" ht="15" hidden="false" customHeight="false" outlineLevel="0" collapsed="false">
      <c r="A7" s="62" t="n">
        <v>45660</v>
      </c>
      <c r="B7" s="63" t="n">
        <v>0</v>
      </c>
      <c r="C7" s="63" t="n">
        <v>0</v>
      </c>
      <c r="D7" s="63" t="n">
        <v>1</v>
      </c>
      <c r="E7" s="63" t="n">
        <v>0</v>
      </c>
      <c r="F7" s="43" t="n">
        <f aca="false">SUM(B7:E7)</f>
        <v>1</v>
      </c>
      <c r="G7" s="60" t="n">
        <f aca="false">DATE(YEAR(A7),MONTH(A7),1)</f>
        <v>45658</v>
      </c>
      <c r="H7" s="63" t="n">
        <v>1</v>
      </c>
      <c r="I7" s="63" t="n">
        <v>0</v>
      </c>
      <c r="J7" s="43" t="n">
        <f aca="false">H7+I7</f>
        <v>1</v>
      </c>
    </row>
    <row r="8" customFormat="false" ht="15" hidden="false" customHeight="false" outlineLevel="0" collapsed="false">
      <c r="A8" s="62" t="n">
        <v>45661</v>
      </c>
      <c r="B8" s="63" t="n">
        <v>0</v>
      </c>
      <c r="C8" s="63" t="n">
        <v>0</v>
      </c>
      <c r="D8" s="63" t="n">
        <v>4</v>
      </c>
      <c r="E8" s="63" t="n">
        <v>0</v>
      </c>
      <c r="F8" s="43" t="n">
        <f aca="false">SUM(B8:E8)</f>
        <v>4</v>
      </c>
      <c r="G8" s="60" t="n">
        <f aca="false">DATE(YEAR(A8),MONTH(A8),1)</f>
        <v>45658</v>
      </c>
      <c r="H8" s="63" t="n">
        <v>1</v>
      </c>
      <c r="I8" s="63" t="n">
        <v>0</v>
      </c>
      <c r="J8" s="43" t="n">
        <f aca="false">H8+I8</f>
        <v>1</v>
      </c>
    </row>
    <row r="9" customFormat="false" ht="15" hidden="false" customHeight="false" outlineLevel="0" collapsed="false">
      <c r="A9" s="62" t="n">
        <v>45662</v>
      </c>
      <c r="B9" s="63" t="n">
        <v>0</v>
      </c>
      <c r="C9" s="63" t="n">
        <v>0</v>
      </c>
      <c r="D9" s="63" t="n">
        <v>3</v>
      </c>
      <c r="E9" s="63" t="n">
        <v>0</v>
      </c>
      <c r="F9" s="43" t="n">
        <f aca="false">SUM(B9:E9)</f>
        <v>3</v>
      </c>
      <c r="G9" s="60" t="n">
        <f aca="false">DATE(YEAR(A9),MONTH(A9),1)</f>
        <v>45658</v>
      </c>
      <c r="H9" s="63" t="n">
        <v>0</v>
      </c>
      <c r="I9" s="63" t="n">
        <v>0</v>
      </c>
      <c r="J9" s="43" t="n">
        <f aca="false">H9+I9</f>
        <v>0</v>
      </c>
    </row>
    <row r="10" customFormat="false" ht="15" hidden="false" customHeight="false" outlineLevel="0" collapsed="false">
      <c r="A10" s="62" t="n">
        <v>45663</v>
      </c>
      <c r="B10" s="63" t="n">
        <v>0</v>
      </c>
      <c r="C10" s="63" t="n">
        <v>0</v>
      </c>
      <c r="D10" s="63" t="n">
        <v>4457</v>
      </c>
      <c r="E10" s="63" t="n">
        <v>0</v>
      </c>
      <c r="F10" s="43" t="n">
        <f aca="false">SUM(B10:E10)</f>
        <v>4457</v>
      </c>
      <c r="G10" s="60" t="n">
        <f aca="false">DATE(YEAR(A10),MONTH(A10),1)</f>
        <v>45658</v>
      </c>
      <c r="H10" s="63" t="n">
        <v>3</v>
      </c>
      <c r="I10" s="63" t="n">
        <v>0</v>
      </c>
      <c r="J10" s="43" t="n">
        <f aca="false">H10+I10</f>
        <v>3</v>
      </c>
    </row>
    <row r="11" customFormat="false" ht="15" hidden="false" customHeight="false" outlineLevel="0" collapsed="false">
      <c r="A11" s="62" t="n">
        <v>45664</v>
      </c>
      <c r="B11" s="63" t="n">
        <v>0</v>
      </c>
      <c r="C11" s="63" t="n">
        <v>0</v>
      </c>
      <c r="D11" s="63" t="n">
        <v>15</v>
      </c>
      <c r="E11" s="63" t="n">
        <v>0</v>
      </c>
      <c r="F11" s="43" t="n">
        <f aca="false">SUM(B11:E11)</f>
        <v>15</v>
      </c>
      <c r="G11" s="60" t="n">
        <f aca="false">DATE(YEAR(A11),MONTH(A11),1)</f>
        <v>45658</v>
      </c>
      <c r="H11" s="63" t="n">
        <v>32</v>
      </c>
      <c r="I11" s="63" t="n">
        <v>0</v>
      </c>
      <c r="J11" s="43" t="n">
        <f aca="false">H11+I11</f>
        <v>32</v>
      </c>
    </row>
    <row r="12" customFormat="false" ht="15" hidden="false" customHeight="false" outlineLevel="0" collapsed="false">
      <c r="A12" s="62" t="n">
        <v>45665</v>
      </c>
      <c r="B12" s="63" t="n">
        <v>0</v>
      </c>
      <c r="C12" s="63" t="n">
        <v>0</v>
      </c>
      <c r="D12" s="63" t="n">
        <v>5</v>
      </c>
      <c r="E12" s="63" t="n">
        <v>0</v>
      </c>
      <c r="F12" s="43" t="n">
        <f aca="false">SUM(B12:E12)</f>
        <v>5</v>
      </c>
      <c r="G12" s="60" t="n">
        <f aca="false">DATE(YEAR(A12),MONTH(A12),1)</f>
        <v>45658</v>
      </c>
      <c r="H12" s="63" t="n">
        <v>5</v>
      </c>
      <c r="I12" s="63" t="n">
        <v>0</v>
      </c>
      <c r="J12" s="43" t="n">
        <f aca="false">H12+I12</f>
        <v>5</v>
      </c>
    </row>
    <row r="13" customFormat="false" ht="15" hidden="false" customHeight="false" outlineLevel="0" collapsed="false">
      <c r="A13" s="62" t="n">
        <v>45666</v>
      </c>
      <c r="B13" s="63" t="n">
        <v>0</v>
      </c>
      <c r="C13" s="63" t="n">
        <v>0</v>
      </c>
      <c r="D13" s="63" t="n">
        <v>3</v>
      </c>
      <c r="E13" s="63" t="n">
        <v>0</v>
      </c>
      <c r="F13" s="43" t="n">
        <f aca="false">SUM(B13:E13)</f>
        <v>3</v>
      </c>
      <c r="G13" s="60" t="n">
        <f aca="false">DATE(YEAR(A13),MONTH(A13),1)</f>
        <v>45658</v>
      </c>
      <c r="H13" s="63" t="n">
        <v>0</v>
      </c>
      <c r="I13" s="63" t="n">
        <v>0</v>
      </c>
      <c r="J13" s="43" t="n">
        <f aca="false">H13+I13</f>
        <v>0</v>
      </c>
    </row>
    <row r="14" customFormat="false" ht="15" hidden="false" customHeight="false" outlineLevel="0" collapsed="false">
      <c r="A14" s="62" t="n">
        <v>45667</v>
      </c>
      <c r="B14" s="63" t="n">
        <v>0</v>
      </c>
      <c r="C14" s="63" t="n">
        <v>0</v>
      </c>
      <c r="D14" s="63" t="n">
        <v>1496</v>
      </c>
      <c r="E14" s="63" t="n">
        <v>0</v>
      </c>
      <c r="F14" s="43" t="n">
        <f aca="false">SUM(B14:E14)</f>
        <v>1496</v>
      </c>
      <c r="G14" s="60" t="n">
        <f aca="false">DATE(YEAR(A14),MONTH(A14),1)</f>
        <v>45658</v>
      </c>
      <c r="H14" s="63" t="n">
        <v>1</v>
      </c>
      <c r="I14" s="63" t="n">
        <v>0</v>
      </c>
      <c r="J14" s="43" t="n">
        <f aca="false">H14+I14</f>
        <v>1</v>
      </c>
    </row>
    <row r="15" customFormat="false" ht="15" hidden="false" customHeight="false" outlineLevel="0" collapsed="false">
      <c r="A15" s="62" t="n">
        <v>45668</v>
      </c>
      <c r="B15" s="63" t="n">
        <v>0</v>
      </c>
      <c r="C15" s="63" t="n">
        <v>0</v>
      </c>
      <c r="D15" s="63" t="n">
        <v>3</v>
      </c>
      <c r="E15" s="63" t="n">
        <v>0</v>
      </c>
      <c r="F15" s="43" t="n">
        <f aca="false">SUM(B15:E15)</f>
        <v>3</v>
      </c>
      <c r="G15" s="60" t="n">
        <f aca="false">DATE(YEAR(A15),MONTH(A15),1)</f>
        <v>45658</v>
      </c>
      <c r="H15" s="63" t="n">
        <v>2</v>
      </c>
      <c r="I15" s="63" t="n">
        <v>0</v>
      </c>
      <c r="J15" s="43" t="n">
        <f aca="false">H15+I15</f>
        <v>2</v>
      </c>
    </row>
    <row r="16" customFormat="false" ht="15" hidden="false" customHeight="false" outlineLevel="0" collapsed="false">
      <c r="A16" s="62" t="n">
        <v>45669</v>
      </c>
      <c r="B16" s="63" t="n">
        <v>0</v>
      </c>
      <c r="C16" s="63" t="n">
        <v>0</v>
      </c>
      <c r="D16" s="63" t="n">
        <v>2</v>
      </c>
      <c r="E16" s="63" t="n">
        <v>0</v>
      </c>
      <c r="F16" s="43" t="n">
        <f aca="false">SUM(B16:E16)</f>
        <v>2</v>
      </c>
      <c r="G16" s="60" t="n">
        <f aca="false">DATE(YEAR(A16),MONTH(A16),1)</f>
        <v>45658</v>
      </c>
      <c r="H16" s="63" t="n">
        <v>3</v>
      </c>
      <c r="I16" s="63" t="n">
        <v>0</v>
      </c>
      <c r="J16" s="43" t="n">
        <f aca="false">H16+I16</f>
        <v>3</v>
      </c>
    </row>
    <row r="17" customFormat="false" ht="15" hidden="false" customHeight="false" outlineLevel="0" collapsed="false">
      <c r="A17" s="62" t="n">
        <v>45670</v>
      </c>
      <c r="B17" s="63" t="n">
        <v>0</v>
      </c>
      <c r="C17" s="63" t="n">
        <v>0</v>
      </c>
      <c r="D17" s="63" t="n">
        <v>1096</v>
      </c>
      <c r="E17" s="63" t="n">
        <v>0</v>
      </c>
      <c r="F17" s="43" t="n">
        <f aca="false">SUM(B17:E17)</f>
        <v>1096</v>
      </c>
      <c r="G17" s="60" t="n">
        <f aca="false">DATE(YEAR(A17),MONTH(A17),1)</f>
        <v>45658</v>
      </c>
      <c r="H17" s="63" t="n">
        <v>0</v>
      </c>
      <c r="I17" s="63" t="n">
        <v>0</v>
      </c>
      <c r="J17" s="43" t="n">
        <f aca="false">H17+I17</f>
        <v>0</v>
      </c>
    </row>
    <row r="18" customFormat="false" ht="15" hidden="false" customHeight="false" outlineLevel="0" collapsed="false">
      <c r="A18" s="62" t="n">
        <v>45671</v>
      </c>
      <c r="B18" s="63" t="n">
        <v>0</v>
      </c>
      <c r="C18" s="63" t="n">
        <v>0</v>
      </c>
      <c r="D18" s="63" t="n">
        <v>275</v>
      </c>
      <c r="E18" s="63" t="n">
        <v>0</v>
      </c>
      <c r="F18" s="43" t="n">
        <f aca="false">SUM(B18:E18)</f>
        <v>275</v>
      </c>
      <c r="G18" s="60" t="n">
        <f aca="false">DATE(YEAR(A18),MONTH(A18),1)</f>
        <v>45658</v>
      </c>
      <c r="H18" s="63" t="n">
        <v>3</v>
      </c>
      <c r="I18" s="63" t="n">
        <v>0</v>
      </c>
      <c r="J18" s="43" t="n">
        <f aca="false">H18+I18</f>
        <v>3</v>
      </c>
    </row>
    <row r="19" customFormat="false" ht="15" hidden="false" customHeight="false" outlineLevel="0" collapsed="false">
      <c r="A19" s="62" t="n">
        <v>45672</v>
      </c>
      <c r="B19" s="63" t="n">
        <v>0</v>
      </c>
      <c r="C19" s="63" t="n">
        <v>0</v>
      </c>
      <c r="D19" s="63" t="n">
        <v>308</v>
      </c>
      <c r="E19" s="63" t="n">
        <v>0</v>
      </c>
      <c r="F19" s="43" t="n">
        <f aca="false">SUM(B19:E19)</f>
        <v>308</v>
      </c>
      <c r="G19" s="60" t="n">
        <f aca="false">DATE(YEAR(A19),MONTH(A19),1)</f>
        <v>45658</v>
      </c>
      <c r="H19" s="63" t="n">
        <v>12</v>
      </c>
      <c r="I19" s="63" t="n">
        <v>0</v>
      </c>
      <c r="J19" s="43" t="n">
        <f aca="false">H19+I19</f>
        <v>12</v>
      </c>
    </row>
    <row r="20" customFormat="false" ht="15" hidden="false" customHeight="false" outlineLevel="0" collapsed="false">
      <c r="A20" s="62" t="n">
        <v>45673</v>
      </c>
      <c r="B20" s="63" t="n">
        <v>0</v>
      </c>
      <c r="C20" s="63" t="n">
        <v>0</v>
      </c>
      <c r="D20" s="63" t="n">
        <v>438</v>
      </c>
      <c r="E20" s="63" t="n">
        <v>0</v>
      </c>
      <c r="F20" s="43" t="n">
        <f aca="false">SUM(B20:E20)</f>
        <v>438</v>
      </c>
      <c r="G20" s="60" t="n">
        <f aca="false">DATE(YEAR(A20),MONTH(A20),1)</f>
        <v>45658</v>
      </c>
      <c r="H20" s="63" t="n">
        <v>2</v>
      </c>
      <c r="I20" s="63" t="n">
        <v>0</v>
      </c>
      <c r="J20" s="43" t="n">
        <f aca="false">H20+I20</f>
        <v>2</v>
      </c>
    </row>
    <row r="21" customFormat="false" ht="15" hidden="false" customHeight="false" outlineLevel="0" collapsed="false">
      <c r="A21" s="62" t="n">
        <v>45674</v>
      </c>
      <c r="B21" s="63" t="n">
        <v>0</v>
      </c>
      <c r="C21" s="63" t="n">
        <v>0</v>
      </c>
      <c r="D21" s="63" t="n">
        <v>7</v>
      </c>
      <c r="E21" s="63" t="n">
        <v>0</v>
      </c>
      <c r="F21" s="43" t="n">
        <f aca="false">SUM(B21:E21)</f>
        <v>7</v>
      </c>
      <c r="G21" s="60" t="n">
        <f aca="false">DATE(YEAR(A21),MONTH(A21),1)</f>
        <v>45658</v>
      </c>
      <c r="H21" s="63" t="n">
        <v>1</v>
      </c>
      <c r="I21" s="63" t="n">
        <v>0</v>
      </c>
      <c r="J21" s="43" t="n">
        <f aca="false">H21+I21</f>
        <v>1</v>
      </c>
    </row>
    <row r="22" customFormat="false" ht="15" hidden="false" customHeight="false" outlineLevel="0" collapsed="false">
      <c r="A22" s="62" t="n">
        <v>45675</v>
      </c>
      <c r="B22" s="63" t="n">
        <v>0</v>
      </c>
      <c r="C22" s="63" t="n">
        <v>0</v>
      </c>
      <c r="D22" s="63" t="n">
        <v>1</v>
      </c>
      <c r="E22" s="63" t="n">
        <v>0</v>
      </c>
      <c r="F22" s="43" t="n">
        <f aca="false">SUM(B22:E22)</f>
        <v>1</v>
      </c>
      <c r="G22" s="60" t="n">
        <f aca="false">DATE(YEAR(A22),MONTH(A22),1)</f>
        <v>45658</v>
      </c>
      <c r="H22" s="63" t="n">
        <v>3</v>
      </c>
      <c r="I22" s="63" t="n">
        <v>0</v>
      </c>
      <c r="J22" s="43" t="n">
        <f aca="false">H22+I22</f>
        <v>3</v>
      </c>
    </row>
    <row r="23" customFormat="false" ht="15" hidden="false" customHeight="false" outlineLevel="0" collapsed="false">
      <c r="A23" s="62" t="n">
        <v>45676</v>
      </c>
      <c r="B23" s="63" t="n">
        <v>0</v>
      </c>
      <c r="C23" s="63" t="n">
        <v>0</v>
      </c>
      <c r="D23" s="63" t="n">
        <v>1</v>
      </c>
      <c r="E23" s="63" t="n">
        <v>0</v>
      </c>
      <c r="F23" s="43" t="n">
        <f aca="false">SUM(B23:E23)</f>
        <v>1</v>
      </c>
      <c r="G23" s="60" t="n">
        <f aca="false">DATE(YEAR(A23),MONTH(A23),1)</f>
        <v>45658</v>
      </c>
      <c r="H23" s="63" t="n">
        <v>0</v>
      </c>
      <c r="I23" s="63" t="n">
        <v>0</v>
      </c>
      <c r="J23" s="43" t="n">
        <f aca="false">H23+I23</f>
        <v>0</v>
      </c>
    </row>
    <row r="24" customFormat="false" ht="15" hidden="false" customHeight="false" outlineLevel="0" collapsed="false">
      <c r="A24" s="62" t="n">
        <v>45677</v>
      </c>
      <c r="B24" s="63" t="n">
        <v>0</v>
      </c>
      <c r="C24" s="63" t="n">
        <v>0</v>
      </c>
      <c r="D24" s="63" t="n">
        <v>1</v>
      </c>
      <c r="E24" s="63" t="n">
        <v>0</v>
      </c>
      <c r="F24" s="43" t="n">
        <f aca="false">SUM(B24:E24)</f>
        <v>1</v>
      </c>
      <c r="G24" s="60" t="n">
        <f aca="false">DATE(YEAR(A24),MONTH(A24),1)</f>
        <v>45658</v>
      </c>
      <c r="H24" s="63" t="n">
        <v>2</v>
      </c>
      <c r="I24" s="63" t="n">
        <v>0</v>
      </c>
      <c r="J24" s="43" t="n">
        <f aca="false">H24+I24</f>
        <v>2</v>
      </c>
    </row>
    <row r="25" customFormat="false" ht="15" hidden="false" customHeight="false" outlineLevel="0" collapsed="false">
      <c r="A25" s="62" t="n">
        <v>45678</v>
      </c>
      <c r="B25" s="63" t="n">
        <v>0</v>
      </c>
      <c r="C25" s="63" t="n">
        <v>0</v>
      </c>
      <c r="D25" s="63" t="n">
        <v>345</v>
      </c>
      <c r="E25" s="63" t="n">
        <v>0</v>
      </c>
      <c r="F25" s="43" t="n">
        <f aca="false">SUM(B25:E25)</f>
        <v>345</v>
      </c>
      <c r="G25" s="60" t="n">
        <f aca="false">DATE(YEAR(A25),MONTH(A25),1)</f>
        <v>45658</v>
      </c>
      <c r="H25" s="63" t="n">
        <v>2</v>
      </c>
      <c r="I25" s="63" t="n">
        <v>0</v>
      </c>
      <c r="J25" s="43" t="n">
        <f aca="false">H25+I25</f>
        <v>2</v>
      </c>
    </row>
    <row r="26" customFormat="false" ht="15" hidden="false" customHeight="false" outlineLevel="0" collapsed="false">
      <c r="A26" s="62" t="n">
        <v>45679</v>
      </c>
      <c r="B26" s="63" t="n">
        <v>0</v>
      </c>
      <c r="C26" s="63" t="n">
        <v>0</v>
      </c>
      <c r="D26" s="63" t="n">
        <v>8292</v>
      </c>
      <c r="E26" s="63" t="n">
        <v>0</v>
      </c>
      <c r="F26" s="43" t="n">
        <f aca="false">SUM(B26:E26)</f>
        <v>8292</v>
      </c>
      <c r="G26" s="60" t="n">
        <f aca="false">DATE(YEAR(A26),MONTH(A26),1)</f>
        <v>45658</v>
      </c>
      <c r="H26" s="63" t="n">
        <v>14</v>
      </c>
      <c r="I26" s="63" t="n">
        <v>0</v>
      </c>
      <c r="J26" s="43" t="n">
        <f aca="false">H26+I26</f>
        <v>14</v>
      </c>
    </row>
    <row r="27" customFormat="false" ht="15" hidden="false" customHeight="false" outlineLevel="0" collapsed="false">
      <c r="A27" s="62" t="n">
        <v>45680</v>
      </c>
      <c r="B27" s="63" t="n">
        <v>0</v>
      </c>
      <c r="C27" s="63" t="n">
        <v>0</v>
      </c>
      <c r="D27" s="63" t="n">
        <v>67</v>
      </c>
      <c r="E27" s="63" t="n">
        <v>0</v>
      </c>
      <c r="F27" s="43" t="n">
        <f aca="false">SUM(B27:E27)</f>
        <v>67</v>
      </c>
      <c r="G27" s="60" t="n">
        <f aca="false">DATE(YEAR(A27),MONTH(A27),1)</f>
        <v>45658</v>
      </c>
      <c r="H27" s="63" t="n">
        <v>33</v>
      </c>
      <c r="I27" s="63" t="n">
        <v>0</v>
      </c>
      <c r="J27" s="43" t="n">
        <f aca="false">H27+I27</f>
        <v>33</v>
      </c>
    </row>
    <row r="28" customFormat="false" ht="15" hidden="false" customHeight="false" outlineLevel="0" collapsed="false">
      <c r="A28" s="62" t="n">
        <v>45681</v>
      </c>
      <c r="B28" s="63" t="n">
        <v>0</v>
      </c>
      <c r="C28" s="63" t="n">
        <v>0</v>
      </c>
      <c r="D28" s="63" t="n">
        <v>968</v>
      </c>
      <c r="E28" s="63" t="n">
        <v>0</v>
      </c>
      <c r="F28" s="43" t="n">
        <f aca="false">SUM(B28:E28)</f>
        <v>968</v>
      </c>
      <c r="G28" s="60" t="n">
        <f aca="false">DATE(YEAR(A28),MONTH(A28),1)</f>
        <v>45658</v>
      </c>
      <c r="H28" s="63" t="n">
        <v>12</v>
      </c>
      <c r="I28" s="63" t="n">
        <v>0</v>
      </c>
      <c r="J28" s="43" t="n">
        <f aca="false">H28+I28</f>
        <v>12</v>
      </c>
    </row>
    <row r="29" customFormat="false" ht="15" hidden="false" customHeight="false" outlineLevel="0" collapsed="false">
      <c r="A29" s="62" t="n">
        <v>45682</v>
      </c>
      <c r="B29" s="63" t="n">
        <v>0</v>
      </c>
      <c r="C29" s="63" t="n">
        <v>0</v>
      </c>
      <c r="D29" s="63" t="n">
        <v>4</v>
      </c>
      <c r="E29" s="63" t="n">
        <v>0</v>
      </c>
      <c r="F29" s="43" t="n">
        <f aca="false">SUM(B29:E29)</f>
        <v>4</v>
      </c>
      <c r="G29" s="60" t="n">
        <f aca="false">DATE(YEAR(A29),MONTH(A29),1)</f>
        <v>45658</v>
      </c>
      <c r="H29" s="63" t="n">
        <v>3</v>
      </c>
      <c r="I29" s="63" t="n">
        <v>0</v>
      </c>
      <c r="J29" s="43" t="n">
        <f aca="false">H29+I29</f>
        <v>3</v>
      </c>
    </row>
    <row r="30" customFormat="false" ht="15" hidden="false" customHeight="false" outlineLevel="0" collapsed="false">
      <c r="A30" s="62" t="n">
        <v>45683</v>
      </c>
      <c r="B30" s="63" t="n">
        <v>0</v>
      </c>
      <c r="C30" s="63" t="n">
        <v>0</v>
      </c>
      <c r="D30" s="63" t="n">
        <v>3</v>
      </c>
      <c r="E30" s="63" t="n">
        <v>0</v>
      </c>
      <c r="F30" s="43" t="n">
        <f aca="false">SUM(B30:E30)</f>
        <v>3</v>
      </c>
      <c r="G30" s="60" t="n">
        <f aca="false">DATE(YEAR(A30),MONTH(A30),1)</f>
        <v>45658</v>
      </c>
      <c r="H30" s="63" t="n">
        <v>1</v>
      </c>
      <c r="I30" s="63" t="n">
        <v>0</v>
      </c>
      <c r="J30" s="43" t="n">
        <f aca="false">H30+I30</f>
        <v>1</v>
      </c>
    </row>
    <row r="31" customFormat="false" ht="15" hidden="false" customHeight="false" outlineLevel="0" collapsed="false">
      <c r="A31" s="62" t="n">
        <v>45684</v>
      </c>
      <c r="B31" s="63" t="n">
        <v>0</v>
      </c>
      <c r="C31" s="63" t="n">
        <v>0</v>
      </c>
      <c r="D31" s="63" t="n">
        <v>10198</v>
      </c>
      <c r="E31" s="63" t="n">
        <v>0</v>
      </c>
      <c r="F31" s="43" t="n">
        <f aca="false">SUM(B31:E31)</f>
        <v>10198</v>
      </c>
      <c r="G31" s="60" t="n">
        <f aca="false">DATE(YEAR(A31),MONTH(A31),1)</f>
        <v>45658</v>
      </c>
      <c r="H31" s="63" t="n">
        <v>6</v>
      </c>
      <c r="I31" s="63" t="n">
        <v>0</v>
      </c>
      <c r="J31" s="43" t="n">
        <f aca="false">H31+I31</f>
        <v>6</v>
      </c>
    </row>
    <row r="32" customFormat="false" ht="15" hidden="false" customHeight="false" outlineLevel="0" collapsed="false">
      <c r="A32" s="62" t="n">
        <v>45685</v>
      </c>
      <c r="B32" s="63" t="n">
        <v>0</v>
      </c>
      <c r="C32" s="63" t="n">
        <v>0</v>
      </c>
      <c r="D32" s="63" t="n">
        <v>46</v>
      </c>
      <c r="E32" s="63" t="n">
        <v>0</v>
      </c>
      <c r="F32" s="43" t="n">
        <f aca="false">SUM(B32:E32)</f>
        <v>46</v>
      </c>
      <c r="G32" s="60" t="n">
        <f aca="false">DATE(YEAR(A32),MONTH(A32),1)</f>
        <v>45658</v>
      </c>
      <c r="H32" s="63" t="n">
        <v>39</v>
      </c>
      <c r="I32" s="63" t="n">
        <v>0</v>
      </c>
      <c r="J32" s="43" t="n">
        <f aca="false">H32+I32</f>
        <v>39</v>
      </c>
    </row>
    <row r="33" customFormat="false" ht="15" hidden="false" customHeight="false" outlineLevel="0" collapsed="false">
      <c r="A33" s="62" t="n">
        <v>45686</v>
      </c>
      <c r="B33" s="63" t="n">
        <v>0</v>
      </c>
      <c r="C33" s="63" t="n">
        <v>0</v>
      </c>
      <c r="D33" s="63" t="n">
        <v>3459</v>
      </c>
      <c r="E33" s="63" t="n">
        <v>0</v>
      </c>
      <c r="F33" s="43" t="n">
        <f aca="false">SUM(B33:E33)</f>
        <v>3459</v>
      </c>
      <c r="G33" s="60" t="n">
        <f aca="false">DATE(YEAR(A33),MONTH(A33),1)</f>
        <v>45658</v>
      </c>
      <c r="H33" s="63" t="n">
        <v>10</v>
      </c>
      <c r="I33" s="63" t="n">
        <v>0</v>
      </c>
      <c r="J33" s="43" t="n">
        <f aca="false">H33+I33</f>
        <v>10</v>
      </c>
    </row>
    <row r="34" customFormat="false" ht="15" hidden="false" customHeight="false" outlineLevel="0" collapsed="false">
      <c r="A34" s="62" t="n">
        <v>45687</v>
      </c>
      <c r="B34" s="63" t="n">
        <v>0</v>
      </c>
      <c r="C34" s="63" t="n">
        <v>0</v>
      </c>
      <c r="D34" s="63" t="n">
        <v>23</v>
      </c>
      <c r="E34" s="63" t="n">
        <v>0</v>
      </c>
      <c r="F34" s="43" t="n">
        <f aca="false">SUM(B34:E34)</f>
        <v>23</v>
      </c>
      <c r="G34" s="60" t="n">
        <f aca="false">DATE(YEAR(A34),MONTH(A34),1)</f>
        <v>45658</v>
      </c>
      <c r="H34" s="63" t="n">
        <v>21</v>
      </c>
      <c r="I34" s="63" t="n">
        <v>0</v>
      </c>
      <c r="J34" s="43" t="n">
        <f aca="false">H34+I34</f>
        <v>21</v>
      </c>
    </row>
    <row r="35" customFormat="false" ht="15" hidden="false" customHeight="false" outlineLevel="0" collapsed="false">
      <c r="A35" s="62" t="n">
        <v>45688</v>
      </c>
      <c r="B35" s="63" t="n">
        <v>0</v>
      </c>
      <c r="C35" s="63" t="n">
        <v>0</v>
      </c>
      <c r="D35" s="63" t="n">
        <v>10</v>
      </c>
      <c r="E35" s="63" t="n">
        <v>0</v>
      </c>
      <c r="F35" s="43" t="n">
        <f aca="false">SUM(B35:E35)</f>
        <v>10</v>
      </c>
      <c r="G35" s="60" t="n">
        <f aca="false">DATE(YEAR(A35),MONTH(A35),1)</f>
        <v>45658</v>
      </c>
      <c r="H35" s="63" t="n">
        <v>49</v>
      </c>
      <c r="I35" s="63" t="n">
        <v>0</v>
      </c>
      <c r="J35" s="43" t="n">
        <f aca="false">H35+I35</f>
        <v>49</v>
      </c>
    </row>
    <row r="36" customFormat="false" ht="15" hidden="false" customHeight="false" outlineLevel="0" collapsed="false">
      <c r="A36" s="62" t="n">
        <v>45689</v>
      </c>
      <c r="B36" s="63" t="n">
        <v>0</v>
      </c>
      <c r="C36" s="63" t="n">
        <v>0</v>
      </c>
      <c r="D36" s="63" t="n">
        <v>2</v>
      </c>
      <c r="E36" s="63" t="n">
        <v>0</v>
      </c>
      <c r="F36" s="43" t="n">
        <f aca="false">SUM(B36:E36)</f>
        <v>2</v>
      </c>
      <c r="G36" s="60" t="n">
        <f aca="false">DATE(YEAR(A36),MONTH(A36),1)</f>
        <v>45689</v>
      </c>
      <c r="H36" s="63" t="n">
        <v>0</v>
      </c>
      <c r="I36" s="63" t="n">
        <v>0</v>
      </c>
      <c r="J36" s="43" t="n">
        <f aca="false">H36+I36</f>
        <v>0</v>
      </c>
    </row>
    <row r="37" customFormat="false" ht="15" hidden="false" customHeight="false" outlineLevel="0" collapsed="false">
      <c r="A37" s="62" t="n">
        <v>45690</v>
      </c>
      <c r="B37" s="63" t="n">
        <v>0</v>
      </c>
      <c r="C37" s="63" t="n">
        <v>0</v>
      </c>
      <c r="D37" s="63" t="n">
        <v>4</v>
      </c>
      <c r="E37" s="63" t="n">
        <v>0</v>
      </c>
      <c r="F37" s="43" t="n">
        <f aca="false">SUM(B37:E37)</f>
        <v>4</v>
      </c>
      <c r="G37" s="60" t="n">
        <f aca="false">DATE(YEAR(A37),MONTH(A37),1)</f>
        <v>45689</v>
      </c>
      <c r="H37" s="63" t="n">
        <v>0</v>
      </c>
      <c r="I37" s="63" t="n">
        <v>0</v>
      </c>
      <c r="J37" s="43" t="n">
        <f aca="false">H37+I37</f>
        <v>0</v>
      </c>
    </row>
    <row r="38" customFormat="false" ht="15" hidden="false" customHeight="false" outlineLevel="0" collapsed="false">
      <c r="A38" s="62" t="n">
        <v>45691</v>
      </c>
      <c r="B38" s="63" t="n">
        <v>0</v>
      </c>
      <c r="C38" s="63" t="n">
        <v>0</v>
      </c>
      <c r="D38" s="63" t="n">
        <v>2335</v>
      </c>
      <c r="E38" s="63" t="n">
        <v>0</v>
      </c>
      <c r="F38" s="43" t="n">
        <f aca="false">SUM(B38:E38)</f>
        <v>2335</v>
      </c>
      <c r="G38" s="60" t="n">
        <f aca="false">DATE(YEAR(A38),MONTH(A38),1)</f>
        <v>45689</v>
      </c>
      <c r="H38" s="63" t="n">
        <v>6</v>
      </c>
      <c r="I38" s="63" t="n">
        <v>0</v>
      </c>
      <c r="J38" s="43" t="n">
        <f aca="false">H38+I38</f>
        <v>6</v>
      </c>
    </row>
    <row r="39" customFormat="false" ht="15" hidden="false" customHeight="false" outlineLevel="0" collapsed="false">
      <c r="A39" s="62" t="n">
        <v>45692</v>
      </c>
      <c r="B39" s="63" t="n">
        <v>0</v>
      </c>
      <c r="C39" s="63" t="n">
        <v>0</v>
      </c>
      <c r="D39" s="63" t="n">
        <v>1411</v>
      </c>
      <c r="E39" s="63" t="n">
        <v>0</v>
      </c>
      <c r="F39" s="43" t="n">
        <f aca="false">SUM(B39:E39)</f>
        <v>1411</v>
      </c>
      <c r="G39" s="60" t="n">
        <f aca="false">DATE(YEAR(A39),MONTH(A39),1)</f>
        <v>45689</v>
      </c>
      <c r="H39" s="63" t="n">
        <v>0</v>
      </c>
      <c r="I39" s="63" t="n">
        <v>0</v>
      </c>
      <c r="J39" s="43" t="n">
        <f aca="false">H39+I39</f>
        <v>0</v>
      </c>
    </row>
    <row r="40" customFormat="false" ht="15" hidden="false" customHeight="false" outlineLevel="0" collapsed="false">
      <c r="A40" s="62" t="n">
        <v>45693</v>
      </c>
      <c r="B40" s="63" t="n">
        <v>0</v>
      </c>
      <c r="C40" s="63" t="n">
        <v>0</v>
      </c>
      <c r="D40" s="63" t="n">
        <v>27</v>
      </c>
      <c r="E40" s="63" t="n">
        <v>0</v>
      </c>
      <c r="F40" s="43" t="n">
        <f aca="false">SUM(B40:E40)</f>
        <v>27</v>
      </c>
      <c r="G40" s="60" t="n">
        <f aca="false">DATE(YEAR(A40),MONTH(A40),1)</f>
        <v>45689</v>
      </c>
      <c r="H40" s="63" t="n">
        <v>2</v>
      </c>
      <c r="I40" s="63" t="n">
        <v>0</v>
      </c>
      <c r="J40" s="43" t="n">
        <f aca="false">H40+I40</f>
        <v>2</v>
      </c>
    </row>
    <row r="41" customFormat="false" ht="15" hidden="false" customHeight="false" outlineLevel="0" collapsed="false">
      <c r="A41" s="62" t="n">
        <v>45694</v>
      </c>
      <c r="B41" s="63" t="n">
        <v>0</v>
      </c>
      <c r="C41" s="63" t="n">
        <v>0</v>
      </c>
      <c r="D41" s="63" t="n">
        <v>10</v>
      </c>
      <c r="E41" s="63" t="n">
        <v>0</v>
      </c>
      <c r="F41" s="43" t="n">
        <f aca="false">SUM(B41:E41)</f>
        <v>10</v>
      </c>
      <c r="G41" s="60" t="n">
        <f aca="false">DATE(YEAR(A41),MONTH(A41),1)</f>
        <v>45689</v>
      </c>
      <c r="H41" s="63" t="n">
        <v>1</v>
      </c>
      <c r="I41" s="63" t="n">
        <v>0</v>
      </c>
      <c r="J41" s="43" t="n">
        <f aca="false">H41+I41</f>
        <v>1</v>
      </c>
    </row>
    <row r="42" customFormat="false" ht="15" hidden="false" customHeight="false" outlineLevel="0" collapsed="false">
      <c r="A42" s="62" t="n">
        <v>45695</v>
      </c>
      <c r="B42" s="63" t="n">
        <v>0</v>
      </c>
      <c r="C42" s="63" t="n">
        <v>0</v>
      </c>
      <c r="D42" s="63" t="n">
        <v>6</v>
      </c>
      <c r="E42" s="63" t="n">
        <v>0</v>
      </c>
      <c r="F42" s="43" t="n">
        <f aca="false">SUM(B42:E42)</f>
        <v>6</v>
      </c>
      <c r="G42" s="60" t="n">
        <f aca="false">DATE(YEAR(A42),MONTH(A42),1)</f>
        <v>45689</v>
      </c>
      <c r="H42" s="63" t="n">
        <v>3</v>
      </c>
      <c r="I42" s="63" t="n">
        <v>0</v>
      </c>
      <c r="J42" s="43" t="n">
        <f aca="false">H42+I42</f>
        <v>3</v>
      </c>
    </row>
    <row r="43" customFormat="false" ht="15" hidden="false" customHeight="false" outlineLevel="0" collapsed="false">
      <c r="A43" s="62" t="n">
        <v>45696</v>
      </c>
      <c r="B43" s="63" t="n">
        <v>0</v>
      </c>
      <c r="C43" s="63" t="n">
        <v>0</v>
      </c>
      <c r="D43" s="63" t="n">
        <v>3</v>
      </c>
      <c r="E43" s="63" t="n">
        <v>0</v>
      </c>
      <c r="F43" s="43" t="n">
        <f aca="false">SUM(B43:E43)</f>
        <v>3</v>
      </c>
      <c r="G43" s="60" t="n">
        <f aca="false">DATE(YEAR(A43),MONTH(A43),1)</f>
        <v>45689</v>
      </c>
      <c r="H43" s="63" t="n">
        <v>0</v>
      </c>
      <c r="I43" s="63" t="n">
        <v>0</v>
      </c>
      <c r="J43" s="43" t="n">
        <f aca="false">H43+I43</f>
        <v>0</v>
      </c>
    </row>
    <row r="44" customFormat="false" ht="15" hidden="false" customHeight="false" outlineLevel="0" collapsed="false">
      <c r="A44" s="62" t="n">
        <v>45697</v>
      </c>
      <c r="B44" s="63" t="n">
        <v>0</v>
      </c>
      <c r="C44" s="63" t="n">
        <v>0</v>
      </c>
      <c r="D44" s="63" t="n">
        <v>2</v>
      </c>
      <c r="E44" s="63" t="n">
        <v>0</v>
      </c>
      <c r="F44" s="43" t="n">
        <f aca="false">SUM(B44:E44)</f>
        <v>2</v>
      </c>
      <c r="G44" s="60" t="n">
        <f aca="false">DATE(YEAR(A44),MONTH(A44),1)</f>
        <v>45689</v>
      </c>
      <c r="H44" s="63" t="n">
        <v>1</v>
      </c>
      <c r="I44" s="63" t="n">
        <v>0</v>
      </c>
      <c r="J44" s="43" t="n">
        <f aca="false">H44+I44</f>
        <v>1</v>
      </c>
    </row>
    <row r="45" customFormat="false" ht="15" hidden="false" customHeight="false" outlineLevel="0" collapsed="false">
      <c r="A45" s="62" t="n">
        <v>45698</v>
      </c>
      <c r="B45" s="63" t="n">
        <v>0</v>
      </c>
      <c r="C45" s="63" t="n">
        <v>0</v>
      </c>
      <c r="D45" s="63" t="n">
        <v>3673</v>
      </c>
      <c r="E45" s="63" t="n">
        <v>0</v>
      </c>
      <c r="F45" s="43" t="n">
        <f aca="false">SUM(B45:E45)</f>
        <v>3673</v>
      </c>
      <c r="G45" s="60" t="n">
        <f aca="false">DATE(YEAR(A45),MONTH(A45),1)</f>
        <v>45689</v>
      </c>
      <c r="H45" s="63" t="n">
        <v>4</v>
      </c>
      <c r="I45" s="63" t="n">
        <v>0</v>
      </c>
      <c r="J45" s="43" t="n">
        <f aca="false">H45+I45</f>
        <v>4</v>
      </c>
    </row>
    <row r="46" customFormat="false" ht="15" hidden="false" customHeight="false" outlineLevel="0" collapsed="false">
      <c r="A46" s="62" t="n">
        <v>45699</v>
      </c>
      <c r="B46" s="63" t="n">
        <v>0</v>
      </c>
      <c r="C46" s="63" t="n">
        <v>0</v>
      </c>
      <c r="D46" s="63" t="n">
        <v>2068</v>
      </c>
      <c r="E46" s="63" t="n">
        <v>0</v>
      </c>
      <c r="F46" s="43" t="n">
        <f aca="false">SUM(B46:E46)</f>
        <v>2068</v>
      </c>
      <c r="G46" s="60" t="n">
        <f aca="false">DATE(YEAR(A46),MONTH(A46),1)</f>
        <v>45689</v>
      </c>
      <c r="H46" s="63" t="n">
        <v>6</v>
      </c>
      <c r="I46" s="63" t="n">
        <v>0</v>
      </c>
      <c r="J46" s="43" t="n">
        <f aca="false">H46+I46</f>
        <v>6</v>
      </c>
    </row>
    <row r="47" customFormat="false" ht="15" hidden="false" customHeight="false" outlineLevel="0" collapsed="false">
      <c r="A47" s="62" t="n">
        <v>45700</v>
      </c>
      <c r="B47" s="63" t="n">
        <v>0</v>
      </c>
      <c r="C47" s="63" t="n">
        <v>0</v>
      </c>
      <c r="D47" s="63" t="n">
        <v>186</v>
      </c>
      <c r="E47" s="63" t="n">
        <v>0</v>
      </c>
      <c r="F47" s="43" t="n">
        <f aca="false">SUM(B47:E47)</f>
        <v>186</v>
      </c>
      <c r="G47" s="60" t="n">
        <f aca="false">DATE(YEAR(A47),MONTH(A47),1)</f>
        <v>45689</v>
      </c>
      <c r="H47" s="63" t="n">
        <v>12</v>
      </c>
      <c r="I47" s="63" t="n">
        <v>0</v>
      </c>
      <c r="J47" s="43" t="n">
        <f aca="false">H47+I47</f>
        <v>12</v>
      </c>
    </row>
    <row r="48" customFormat="false" ht="15" hidden="false" customHeight="false" outlineLevel="0" collapsed="false">
      <c r="A48" s="62" t="n">
        <v>45701</v>
      </c>
      <c r="B48" s="63" t="n">
        <v>0</v>
      </c>
      <c r="C48" s="63" t="n">
        <v>0</v>
      </c>
      <c r="D48" s="63" t="n">
        <v>14</v>
      </c>
      <c r="E48" s="63" t="n">
        <v>0</v>
      </c>
      <c r="F48" s="43" t="n">
        <f aca="false">SUM(B48:E48)</f>
        <v>14</v>
      </c>
      <c r="G48" s="60" t="n">
        <f aca="false">DATE(YEAR(A48),MONTH(A48),1)</f>
        <v>45689</v>
      </c>
      <c r="H48" s="63" t="n">
        <v>1</v>
      </c>
      <c r="I48" s="63" t="n">
        <v>0</v>
      </c>
      <c r="J48" s="43" t="n">
        <f aca="false">H48+I48</f>
        <v>1</v>
      </c>
    </row>
    <row r="49" customFormat="false" ht="15" hidden="false" customHeight="false" outlineLevel="0" collapsed="false">
      <c r="A49" s="62" t="n">
        <v>45702</v>
      </c>
      <c r="B49" s="63" t="n">
        <v>0</v>
      </c>
      <c r="C49" s="63" t="n">
        <v>0</v>
      </c>
      <c r="D49" s="63" t="n">
        <v>8</v>
      </c>
      <c r="E49" s="63" t="n">
        <v>0</v>
      </c>
      <c r="F49" s="43" t="n">
        <f aca="false">SUM(B49:E49)</f>
        <v>8</v>
      </c>
      <c r="G49" s="60" t="n">
        <f aca="false">DATE(YEAR(A49),MONTH(A49),1)</f>
        <v>45689</v>
      </c>
      <c r="H49" s="63" t="n">
        <v>3</v>
      </c>
      <c r="I49" s="63" t="n">
        <v>0</v>
      </c>
      <c r="J49" s="43" t="n">
        <f aca="false">H49+I49</f>
        <v>3</v>
      </c>
    </row>
    <row r="50" customFormat="false" ht="15" hidden="false" customHeight="false" outlineLevel="0" collapsed="false">
      <c r="A50" s="62" t="n">
        <v>45703</v>
      </c>
      <c r="B50" s="63" t="n">
        <v>0</v>
      </c>
      <c r="C50" s="63" t="n">
        <v>0</v>
      </c>
      <c r="D50" s="63" t="n">
        <v>3</v>
      </c>
      <c r="E50" s="63" t="n">
        <v>0</v>
      </c>
      <c r="F50" s="43" t="n">
        <f aca="false">SUM(B50:E50)</f>
        <v>3</v>
      </c>
      <c r="G50" s="60" t="n">
        <f aca="false">DATE(YEAR(A50),MONTH(A50),1)</f>
        <v>45689</v>
      </c>
      <c r="H50" s="63" t="n">
        <v>1</v>
      </c>
      <c r="I50" s="63" t="n">
        <v>0</v>
      </c>
      <c r="J50" s="43" t="n">
        <f aca="false">H50+I50</f>
        <v>1</v>
      </c>
    </row>
    <row r="51" customFormat="false" ht="15" hidden="false" customHeight="false" outlineLevel="0" collapsed="false">
      <c r="A51" s="62" t="n">
        <v>45704</v>
      </c>
      <c r="B51" s="63" t="n">
        <v>0</v>
      </c>
      <c r="C51" s="63" t="n">
        <v>0</v>
      </c>
      <c r="D51" s="63" t="n">
        <v>0</v>
      </c>
      <c r="E51" s="63" t="n">
        <v>0</v>
      </c>
      <c r="F51" s="43" t="n">
        <f aca="false">SUM(B51:E51)</f>
        <v>0</v>
      </c>
      <c r="G51" s="60" t="n">
        <f aca="false">DATE(YEAR(A51),MONTH(A51),1)</f>
        <v>45689</v>
      </c>
      <c r="H51" s="63" t="n">
        <v>0</v>
      </c>
      <c r="I51" s="63" t="n">
        <v>0</v>
      </c>
      <c r="J51" s="43" t="n">
        <f aca="false">H51+I51</f>
        <v>0</v>
      </c>
    </row>
    <row r="52" customFormat="false" ht="15" hidden="false" customHeight="false" outlineLevel="0" collapsed="false">
      <c r="A52" s="62" t="n">
        <v>45705</v>
      </c>
      <c r="B52" s="63" t="n">
        <v>0</v>
      </c>
      <c r="C52" s="63" t="n">
        <v>0</v>
      </c>
      <c r="D52" s="63" t="n">
        <v>4463</v>
      </c>
      <c r="E52" s="63" t="n">
        <v>0</v>
      </c>
      <c r="F52" s="43" t="n">
        <f aca="false">SUM(B52:E52)</f>
        <v>4463</v>
      </c>
      <c r="G52" s="60" t="n">
        <f aca="false">DATE(YEAR(A52),MONTH(A52),1)</f>
        <v>45689</v>
      </c>
      <c r="H52" s="63" t="n">
        <v>0</v>
      </c>
      <c r="I52" s="63" t="n">
        <v>0</v>
      </c>
      <c r="J52" s="43" t="n">
        <f aca="false">H52+I52</f>
        <v>0</v>
      </c>
    </row>
    <row r="53" customFormat="false" ht="15" hidden="false" customHeight="false" outlineLevel="0" collapsed="false">
      <c r="A53" s="62" t="n">
        <v>45706</v>
      </c>
      <c r="B53" s="63" t="n">
        <v>0</v>
      </c>
      <c r="C53" s="63" t="n">
        <v>0</v>
      </c>
      <c r="D53" s="63" t="n">
        <v>9</v>
      </c>
      <c r="E53" s="63" t="n">
        <v>0</v>
      </c>
      <c r="F53" s="43" t="n">
        <f aca="false">SUM(B53:E53)</f>
        <v>9</v>
      </c>
      <c r="G53" s="60" t="n">
        <f aca="false">DATE(YEAR(A53),MONTH(A53),1)</f>
        <v>45689</v>
      </c>
      <c r="H53" s="63" t="n">
        <v>2</v>
      </c>
      <c r="I53" s="63" t="n">
        <v>0</v>
      </c>
      <c r="J53" s="43" t="n">
        <f aca="false">H53+I53</f>
        <v>2</v>
      </c>
    </row>
    <row r="54" customFormat="false" ht="15" hidden="false" customHeight="false" outlineLevel="0" collapsed="false">
      <c r="A54" s="62" t="n">
        <v>45707</v>
      </c>
      <c r="B54" s="63" t="n">
        <v>0</v>
      </c>
      <c r="C54" s="63" t="n">
        <v>0</v>
      </c>
      <c r="D54" s="63" t="n">
        <v>5008</v>
      </c>
      <c r="E54" s="63" t="n">
        <v>0</v>
      </c>
      <c r="F54" s="43" t="n">
        <f aca="false">SUM(B54:E54)</f>
        <v>5008</v>
      </c>
      <c r="G54" s="60" t="n">
        <f aca="false">DATE(YEAR(A54),MONTH(A54),1)</f>
        <v>45689</v>
      </c>
      <c r="H54" s="63" t="n">
        <v>4</v>
      </c>
      <c r="I54" s="63" t="n">
        <v>0</v>
      </c>
      <c r="J54" s="43" t="n">
        <f aca="false">H54+I54</f>
        <v>4</v>
      </c>
    </row>
    <row r="55" customFormat="false" ht="15" hidden="false" customHeight="false" outlineLevel="0" collapsed="false">
      <c r="A55" s="62" t="n">
        <v>45708</v>
      </c>
      <c r="B55" s="63" t="n">
        <v>0</v>
      </c>
      <c r="C55" s="63" t="n">
        <v>0</v>
      </c>
      <c r="D55" s="63" t="n">
        <v>14</v>
      </c>
      <c r="E55" s="63" t="n">
        <v>0</v>
      </c>
      <c r="F55" s="43" t="n">
        <f aca="false">SUM(B55:E55)</f>
        <v>14</v>
      </c>
      <c r="G55" s="60" t="n">
        <f aca="false">DATE(YEAR(A55),MONTH(A55),1)</f>
        <v>45689</v>
      </c>
      <c r="H55" s="63" t="n">
        <v>62</v>
      </c>
      <c r="I55" s="63" t="n">
        <v>0</v>
      </c>
      <c r="J55" s="43" t="n">
        <f aca="false">H55+I55</f>
        <v>62</v>
      </c>
    </row>
    <row r="56" customFormat="false" ht="15" hidden="false" customHeight="false" outlineLevel="0" collapsed="false">
      <c r="A56" s="62" t="n">
        <v>45709</v>
      </c>
      <c r="B56" s="63" t="n">
        <v>0</v>
      </c>
      <c r="C56" s="63" t="n">
        <v>0</v>
      </c>
      <c r="D56" s="63" t="n">
        <v>1911</v>
      </c>
      <c r="E56" s="63" t="n">
        <v>0</v>
      </c>
      <c r="F56" s="43" t="n">
        <f aca="false">SUM(B56:E56)</f>
        <v>1911</v>
      </c>
      <c r="G56" s="60" t="n">
        <f aca="false">DATE(YEAR(A56),MONTH(A56),1)</f>
        <v>45689</v>
      </c>
      <c r="H56" s="63" t="n">
        <v>27</v>
      </c>
      <c r="I56" s="63" t="n">
        <v>0</v>
      </c>
      <c r="J56" s="43" t="n">
        <f aca="false">H56+I56</f>
        <v>27</v>
      </c>
    </row>
    <row r="57" customFormat="false" ht="15" hidden="false" customHeight="false" outlineLevel="0" collapsed="false">
      <c r="A57" s="62" t="n">
        <v>45710</v>
      </c>
      <c r="B57" s="63" t="n">
        <v>0</v>
      </c>
      <c r="C57" s="63" t="n">
        <v>0</v>
      </c>
      <c r="D57" s="63" t="n">
        <v>4</v>
      </c>
      <c r="E57" s="63" t="n">
        <v>0</v>
      </c>
      <c r="F57" s="43" t="n">
        <f aca="false">SUM(B57:E57)</f>
        <v>4</v>
      </c>
      <c r="G57" s="60" t="n">
        <f aca="false">DATE(YEAR(A57),MONTH(A57),1)</f>
        <v>45689</v>
      </c>
      <c r="H57" s="63" t="n">
        <v>1</v>
      </c>
      <c r="I57" s="63" t="n">
        <v>0</v>
      </c>
      <c r="J57" s="43" t="n">
        <f aca="false">H57+I57</f>
        <v>1</v>
      </c>
    </row>
    <row r="58" customFormat="false" ht="15" hidden="false" customHeight="false" outlineLevel="0" collapsed="false">
      <c r="A58" s="62" t="n">
        <v>45711</v>
      </c>
      <c r="B58" s="63" t="n">
        <v>0</v>
      </c>
      <c r="C58" s="63" t="n">
        <v>0</v>
      </c>
      <c r="D58" s="63" t="n">
        <v>5085</v>
      </c>
      <c r="E58" s="63" t="n">
        <v>0</v>
      </c>
      <c r="F58" s="43" t="n">
        <f aca="false">SUM(B58:E58)</f>
        <v>5085</v>
      </c>
      <c r="G58" s="60" t="n">
        <f aca="false">DATE(YEAR(A58),MONTH(A58),1)</f>
        <v>45689</v>
      </c>
      <c r="H58" s="63" t="n">
        <v>0</v>
      </c>
      <c r="I58" s="63" t="n">
        <v>0</v>
      </c>
      <c r="J58" s="43" t="n">
        <f aca="false">H58+I58</f>
        <v>0</v>
      </c>
    </row>
    <row r="59" customFormat="false" ht="15" hidden="false" customHeight="false" outlineLevel="0" collapsed="false">
      <c r="A59" s="62" t="n">
        <v>45712</v>
      </c>
      <c r="B59" s="63" t="n">
        <v>0</v>
      </c>
      <c r="C59" s="63" t="n">
        <v>0</v>
      </c>
      <c r="D59" s="63" t="n">
        <v>109</v>
      </c>
      <c r="E59" s="63" t="n">
        <v>0</v>
      </c>
      <c r="F59" s="43" t="n">
        <f aca="false">SUM(B59:E59)</f>
        <v>109</v>
      </c>
      <c r="G59" s="60" t="n">
        <f aca="false">DATE(YEAR(A59),MONTH(A59),1)</f>
        <v>45689</v>
      </c>
      <c r="H59" s="63" t="n">
        <v>6</v>
      </c>
      <c r="I59" s="63" t="n">
        <v>0</v>
      </c>
      <c r="J59" s="43" t="n">
        <f aca="false">H59+I59</f>
        <v>6</v>
      </c>
    </row>
    <row r="60" customFormat="false" ht="15" hidden="false" customHeight="false" outlineLevel="0" collapsed="false">
      <c r="A60" s="62" t="n">
        <v>45713</v>
      </c>
      <c r="B60" s="63" t="n">
        <v>0</v>
      </c>
      <c r="C60" s="63" t="n">
        <v>0</v>
      </c>
      <c r="D60" s="63" t="n">
        <v>320</v>
      </c>
      <c r="E60" s="63" t="n">
        <v>0</v>
      </c>
      <c r="F60" s="43" t="n">
        <f aca="false">SUM(B60:E60)</f>
        <v>320</v>
      </c>
      <c r="G60" s="60" t="n">
        <f aca="false">DATE(YEAR(A60),MONTH(A60),1)</f>
        <v>45689</v>
      </c>
      <c r="H60" s="63" t="n">
        <v>23</v>
      </c>
      <c r="I60" s="63" t="n">
        <v>0</v>
      </c>
      <c r="J60" s="43" t="n">
        <f aca="false">H60+I60</f>
        <v>23</v>
      </c>
    </row>
    <row r="61" customFormat="false" ht="15" hidden="false" customHeight="false" outlineLevel="0" collapsed="false">
      <c r="A61" s="62" t="n">
        <v>45714</v>
      </c>
      <c r="B61" s="63" t="n">
        <v>0</v>
      </c>
      <c r="C61" s="63" t="n">
        <v>0</v>
      </c>
      <c r="D61" s="63" t="n">
        <v>8271</v>
      </c>
      <c r="E61" s="63" t="n">
        <v>0</v>
      </c>
      <c r="F61" s="43" t="n">
        <f aca="false">SUM(B61:E61)</f>
        <v>8271</v>
      </c>
      <c r="G61" s="60" t="n">
        <f aca="false">DATE(YEAR(A61),MONTH(A61),1)</f>
        <v>45689</v>
      </c>
      <c r="H61" s="63" t="n">
        <v>6</v>
      </c>
      <c r="I61" s="63" t="n">
        <v>0</v>
      </c>
      <c r="J61" s="43" t="n">
        <f aca="false">H61+I61</f>
        <v>6</v>
      </c>
    </row>
    <row r="62" customFormat="false" ht="15" hidden="false" customHeight="false" outlineLevel="0" collapsed="false">
      <c r="A62" s="62" t="n">
        <v>45715</v>
      </c>
      <c r="B62" s="63" t="n">
        <v>0</v>
      </c>
      <c r="C62" s="63" t="n">
        <v>0</v>
      </c>
      <c r="D62" s="63" t="n">
        <v>764</v>
      </c>
      <c r="E62" s="63" t="n">
        <v>0</v>
      </c>
      <c r="F62" s="43" t="n">
        <f aca="false">SUM(B62:E62)</f>
        <v>764</v>
      </c>
      <c r="G62" s="60" t="n">
        <f aca="false">DATE(YEAR(A62),MONTH(A62),1)</f>
        <v>45689</v>
      </c>
      <c r="H62" s="63" t="n">
        <v>4</v>
      </c>
      <c r="I62" s="63" t="n">
        <v>0</v>
      </c>
      <c r="J62" s="43" t="n">
        <f aca="false">H62+I62</f>
        <v>4</v>
      </c>
    </row>
    <row r="63" customFormat="false" ht="15" hidden="false" customHeight="false" outlineLevel="0" collapsed="false">
      <c r="A63" s="62" t="n">
        <v>45716</v>
      </c>
      <c r="B63" s="63" t="n">
        <v>0</v>
      </c>
      <c r="C63" s="63" t="n">
        <v>0</v>
      </c>
      <c r="D63" s="63" t="n">
        <v>22</v>
      </c>
      <c r="E63" s="63" t="n">
        <v>0</v>
      </c>
      <c r="F63" s="43" t="n">
        <f aca="false">SUM(B63:E63)</f>
        <v>22</v>
      </c>
      <c r="G63" s="60" t="n">
        <f aca="false">DATE(YEAR(A63),MONTH(A63),1)</f>
        <v>45689</v>
      </c>
      <c r="H63" s="63" t="n">
        <v>5</v>
      </c>
      <c r="I63" s="63" t="n">
        <v>0</v>
      </c>
      <c r="J63" s="43" t="n">
        <f aca="false">H63+I63</f>
        <v>5</v>
      </c>
    </row>
    <row r="64" customFormat="false" ht="15" hidden="false" customHeight="false" outlineLevel="0" collapsed="false">
      <c r="A64" s="62" t="n">
        <v>45717</v>
      </c>
      <c r="B64" s="63" t="n">
        <v>0</v>
      </c>
      <c r="C64" s="63" t="n">
        <v>0</v>
      </c>
      <c r="D64" s="63" t="n">
        <v>11</v>
      </c>
      <c r="E64" s="63" t="n">
        <v>0</v>
      </c>
      <c r="F64" s="43" t="n">
        <f aca="false">SUM(B64:E64)</f>
        <v>11</v>
      </c>
      <c r="G64" s="60" t="n">
        <f aca="false">DATE(YEAR(A64),MONTH(A64),1)</f>
        <v>45717</v>
      </c>
      <c r="H64" s="63" t="n">
        <v>1</v>
      </c>
      <c r="I64" s="63" t="n">
        <v>0</v>
      </c>
      <c r="J64" s="43" t="n">
        <f aca="false">H64+I64</f>
        <v>1</v>
      </c>
    </row>
    <row r="65" customFormat="false" ht="15" hidden="false" customHeight="false" outlineLevel="0" collapsed="false">
      <c r="A65" s="62" t="n">
        <v>45718</v>
      </c>
      <c r="B65" s="63" t="n">
        <v>0</v>
      </c>
      <c r="C65" s="63" t="n">
        <v>0</v>
      </c>
      <c r="D65" s="63" t="n">
        <v>3</v>
      </c>
      <c r="E65" s="63" t="n">
        <v>0</v>
      </c>
      <c r="F65" s="43" t="n">
        <f aca="false">SUM(B65:E65)</f>
        <v>3</v>
      </c>
      <c r="G65" s="60" t="n">
        <f aca="false">DATE(YEAR(A65),MONTH(A65),1)</f>
        <v>45717</v>
      </c>
      <c r="H65" s="63" t="n">
        <v>1</v>
      </c>
      <c r="I65" s="63" t="n">
        <v>0</v>
      </c>
      <c r="J65" s="43" t="n">
        <f aca="false">H65+I65</f>
        <v>1</v>
      </c>
    </row>
    <row r="66" customFormat="false" ht="15" hidden="false" customHeight="false" outlineLevel="0" collapsed="false">
      <c r="A66" s="62" t="n">
        <v>45719</v>
      </c>
      <c r="B66" s="63" t="n">
        <v>0</v>
      </c>
      <c r="C66" s="63" t="n">
        <v>0</v>
      </c>
      <c r="D66" s="63" t="n">
        <v>6</v>
      </c>
      <c r="E66" s="63" t="n">
        <v>0</v>
      </c>
      <c r="F66" s="43" t="n">
        <f aca="false">SUM(B66:E66)</f>
        <v>6</v>
      </c>
      <c r="G66" s="60" t="n">
        <f aca="false">DATE(YEAR(A66),MONTH(A66),1)</f>
        <v>45717</v>
      </c>
      <c r="H66" s="63" t="n">
        <v>3</v>
      </c>
      <c r="I66" s="63" t="n">
        <v>0</v>
      </c>
      <c r="J66" s="43" t="n">
        <f aca="false">H66+I66</f>
        <v>3</v>
      </c>
    </row>
    <row r="67" customFormat="false" ht="15" hidden="false" customHeight="false" outlineLevel="0" collapsed="false">
      <c r="A67" s="62" t="n">
        <v>45720</v>
      </c>
      <c r="B67" s="63" t="n">
        <v>0</v>
      </c>
      <c r="C67" s="63" t="n">
        <v>0</v>
      </c>
      <c r="D67" s="63" t="n">
        <v>2</v>
      </c>
      <c r="E67" s="63" t="n">
        <v>0</v>
      </c>
      <c r="F67" s="43" t="n">
        <f aca="false">SUM(B67:E67)</f>
        <v>2</v>
      </c>
      <c r="G67" s="60" t="n">
        <f aca="false">DATE(YEAR(A67),MONTH(A67),1)</f>
        <v>45717</v>
      </c>
      <c r="H67" s="63" t="n">
        <v>0</v>
      </c>
      <c r="I67" s="63" t="n">
        <v>0</v>
      </c>
      <c r="J67" s="43" t="n">
        <f aca="false">H67+I67</f>
        <v>0</v>
      </c>
    </row>
    <row r="68" customFormat="false" ht="15" hidden="false" customHeight="false" outlineLevel="0" collapsed="false">
      <c r="A68" s="62" t="n">
        <v>45721</v>
      </c>
      <c r="B68" s="63" t="n">
        <v>0</v>
      </c>
      <c r="C68" s="63" t="n">
        <v>0</v>
      </c>
      <c r="D68" s="63" t="n">
        <v>275</v>
      </c>
      <c r="E68" s="63" t="n">
        <v>0</v>
      </c>
      <c r="F68" s="43" t="n">
        <f aca="false">SUM(B68:E68)</f>
        <v>275</v>
      </c>
      <c r="G68" s="60" t="n">
        <f aca="false">DATE(YEAR(A68),MONTH(A68),1)</f>
        <v>45717</v>
      </c>
      <c r="H68" s="63" t="n">
        <v>2</v>
      </c>
      <c r="I68" s="63" t="n">
        <v>0</v>
      </c>
      <c r="J68" s="43" t="n">
        <f aca="false">H68+I68</f>
        <v>2</v>
      </c>
    </row>
    <row r="69" customFormat="false" ht="15" hidden="false" customHeight="false" outlineLevel="0" collapsed="false">
      <c r="A69" s="62" t="n">
        <v>45722</v>
      </c>
      <c r="B69" s="63" t="n">
        <v>0</v>
      </c>
      <c r="C69" s="63" t="n">
        <v>0</v>
      </c>
      <c r="D69" s="63" t="n">
        <v>5</v>
      </c>
      <c r="E69" s="63" t="n">
        <v>0</v>
      </c>
      <c r="F69" s="43" t="n">
        <f aca="false">SUM(B69:E69)</f>
        <v>5</v>
      </c>
      <c r="G69" s="60" t="n">
        <f aca="false">DATE(YEAR(A69),MONTH(A69),1)</f>
        <v>45717</v>
      </c>
      <c r="H69" s="63" t="n">
        <v>4</v>
      </c>
      <c r="I69" s="63" t="n">
        <v>0</v>
      </c>
      <c r="J69" s="43" t="n">
        <f aca="false">H69+I69</f>
        <v>4</v>
      </c>
    </row>
    <row r="70" customFormat="false" ht="15" hidden="false" customHeight="false" outlineLevel="0" collapsed="false">
      <c r="A70" s="62" t="n">
        <v>45723</v>
      </c>
      <c r="B70" s="63" t="n">
        <v>0</v>
      </c>
      <c r="C70" s="63" t="n">
        <v>0</v>
      </c>
      <c r="D70" s="63" t="n">
        <v>3337</v>
      </c>
      <c r="E70" s="63" t="n">
        <v>0</v>
      </c>
      <c r="F70" s="43" t="n">
        <f aca="false">SUM(B70:E70)</f>
        <v>3337</v>
      </c>
      <c r="G70" s="60" t="n">
        <f aca="false">DATE(YEAR(A70),MONTH(A70),1)</f>
        <v>45717</v>
      </c>
      <c r="H70" s="63" t="n">
        <v>3</v>
      </c>
      <c r="I70" s="63" t="n">
        <v>0</v>
      </c>
      <c r="J70" s="43" t="n">
        <f aca="false">H70+I70</f>
        <v>3</v>
      </c>
    </row>
    <row r="71" customFormat="false" ht="15" hidden="false" customHeight="false" outlineLevel="0" collapsed="false">
      <c r="A71" s="62" t="n">
        <v>45724</v>
      </c>
      <c r="B71" s="63" t="n">
        <v>0</v>
      </c>
      <c r="C71" s="63" t="n">
        <v>0</v>
      </c>
      <c r="D71" s="63" t="n">
        <v>13</v>
      </c>
      <c r="E71" s="63" t="n">
        <v>0</v>
      </c>
      <c r="F71" s="43" t="n">
        <f aca="false">SUM(B71:E71)</f>
        <v>13</v>
      </c>
      <c r="G71" s="60" t="n">
        <f aca="false">DATE(YEAR(A71),MONTH(A71),1)</f>
        <v>45717</v>
      </c>
      <c r="H71" s="63" t="n">
        <v>13</v>
      </c>
      <c r="I71" s="63" t="n">
        <v>0</v>
      </c>
      <c r="J71" s="43" t="n">
        <f aca="false">H71+I71</f>
        <v>13</v>
      </c>
    </row>
    <row r="72" customFormat="false" ht="15" hidden="false" customHeight="false" outlineLevel="0" collapsed="false">
      <c r="A72" s="62" t="n">
        <v>45725</v>
      </c>
      <c r="B72" s="63" t="n">
        <v>0</v>
      </c>
      <c r="C72" s="63" t="n">
        <v>0</v>
      </c>
      <c r="D72" s="63" t="n">
        <v>2</v>
      </c>
      <c r="E72" s="63" t="n">
        <v>0</v>
      </c>
      <c r="F72" s="43" t="n">
        <f aca="false">SUM(B72:E72)</f>
        <v>2</v>
      </c>
      <c r="G72" s="60" t="n">
        <f aca="false">DATE(YEAR(A72),MONTH(A72),1)</f>
        <v>45717</v>
      </c>
      <c r="H72" s="63" t="n">
        <v>1</v>
      </c>
      <c r="I72" s="63" t="n">
        <v>0</v>
      </c>
      <c r="J72" s="43" t="n">
        <f aca="false">H72+I72</f>
        <v>1</v>
      </c>
    </row>
    <row r="73" customFormat="false" ht="15" hidden="false" customHeight="false" outlineLevel="0" collapsed="false">
      <c r="A73" s="62" t="n">
        <v>45726</v>
      </c>
      <c r="B73" s="63" t="n">
        <v>0</v>
      </c>
      <c r="C73" s="63" t="n">
        <v>0</v>
      </c>
      <c r="D73" s="63" t="n">
        <v>7</v>
      </c>
      <c r="E73" s="63" t="n">
        <v>0</v>
      </c>
      <c r="F73" s="43" t="n">
        <f aca="false">SUM(B73:E73)</f>
        <v>7</v>
      </c>
      <c r="G73" s="60" t="n">
        <f aca="false">DATE(YEAR(A73),MONTH(A73),1)</f>
        <v>45717</v>
      </c>
      <c r="H73" s="63" t="n">
        <v>9</v>
      </c>
      <c r="I73" s="63" t="n">
        <v>0</v>
      </c>
      <c r="J73" s="43" t="n">
        <f aca="false">H73+I73</f>
        <v>9</v>
      </c>
    </row>
    <row r="74" customFormat="false" ht="15" hidden="false" customHeight="false" outlineLevel="0" collapsed="false">
      <c r="A74" s="62" t="n">
        <v>45727</v>
      </c>
      <c r="B74" s="63" t="n">
        <v>0</v>
      </c>
      <c r="C74" s="63" t="n">
        <v>0</v>
      </c>
      <c r="D74" s="63" t="n">
        <v>2722</v>
      </c>
      <c r="E74" s="63" t="n">
        <v>0</v>
      </c>
      <c r="F74" s="43" t="n">
        <f aca="false">SUM(B74:E74)</f>
        <v>2722</v>
      </c>
      <c r="G74" s="60" t="n">
        <f aca="false">DATE(YEAR(A74),MONTH(A74),1)</f>
        <v>45717</v>
      </c>
      <c r="H74" s="63" t="n">
        <v>1</v>
      </c>
      <c r="I74" s="63" t="n">
        <v>1</v>
      </c>
      <c r="J74" s="43" t="n">
        <f aca="false">H74+I74</f>
        <v>2</v>
      </c>
    </row>
    <row r="75" customFormat="false" ht="15" hidden="false" customHeight="false" outlineLevel="0" collapsed="false">
      <c r="A75" s="62" t="n">
        <v>45728</v>
      </c>
      <c r="B75" s="63" t="n">
        <v>0</v>
      </c>
      <c r="C75" s="63" t="n">
        <v>0</v>
      </c>
      <c r="D75" s="63" t="n">
        <v>2523</v>
      </c>
      <c r="E75" s="63" t="n">
        <v>0</v>
      </c>
      <c r="F75" s="43" t="n">
        <f aca="false">SUM(B75:E75)</f>
        <v>2523</v>
      </c>
      <c r="G75" s="60" t="n">
        <f aca="false">DATE(YEAR(A75),MONTH(A75),1)</f>
        <v>45717</v>
      </c>
      <c r="H75" s="63" t="n">
        <v>4</v>
      </c>
      <c r="I75" s="63" t="n">
        <v>0</v>
      </c>
      <c r="J75" s="43" t="n">
        <f aca="false">H75+I75</f>
        <v>4</v>
      </c>
    </row>
    <row r="76" customFormat="false" ht="15" hidden="false" customHeight="false" outlineLevel="0" collapsed="false">
      <c r="A76" s="62" t="n">
        <v>45729</v>
      </c>
      <c r="B76" s="63" t="n">
        <v>0</v>
      </c>
      <c r="C76" s="63" t="n">
        <v>0</v>
      </c>
      <c r="D76" s="63" t="n">
        <v>603</v>
      </c>
      <c r="E76" s="63" t="n">
        <v>0</v>
      </c>
      <c r="F76" s="43" t="n">
        <f aca="false">SUM(B76:E76)</f>
        <v>603</v>
      </c>
      <c r="G76" s="60" t="n">
        <f aca="false">DATE(YEAR(A76),MONTH(A76),1)</f>
        <v>45717</v>
      </c>
      <c r="H76" s="63" t="n">
        <v>8</v>
      </c>
      <c r="I76" s="63" t="n">
        <v>0</v>
      </c>
      <c r="J76" s="43" t="n">
        <f aca="false">H76+I76</f>
        <v>8</v>
      </c>
    </row>
    <row r="77" customFormat="false" ht="15" hidden="false" customHeight="false" outlineLevel="0" collapsed="false">
      <c r="A77" s="62" t="n">
        <v>45730</v>
      </c>
      <c r="B77" s="63" t="n">
        <v>0</v>
      </c>
      <c r="C77" s="63" t="n">
        <v>0</v>
      </c>
      <c r="D77" s="63" t="n">
        <v>370</v>
      </c>
      <c r="E77" s="63" t="n">
        <v>0</v>
      </c>
      <c r="F77" s="43" t="n">
        <f aca="false">SUM(B77:E77)</f>
        <v>370</v>
      </c>
      <c r="G77" s="60" t="n">
        <f aca="false">DATE(YEAR(A77),MONTH(A77),1)</f>
        <v>45717</v>
      </c>
      <c r="H77" s="63" t="n">
        <v>11</v>
      </c>
      <c r="I77" s="63" t="n">
        <v>0</v>
      </c>
      <c r="J77" s="43" t="n">
        <f aca="false">H77+I77</f>
        <v>11</v>
      </c>
    </row>
    <row r="78" customFormat="false" ht="15" hidden="false" customHeight="false" outlineLevel="0" collapsed="false">
      <c r="A78" s="62" t="n">
        <v>45731</v>
      </c>
      <c r="B78" s="63" t="n">
        <v>0</v>
      </c>
      <c r="C78" s="63" t="n">
        <v>0</v>
      </c>
      <c r="D78" s="63" t="n">
        <v>9</v>
      </c>
      <c r="E78" s="63" t="n">
        <v>0</v>
      </c>
      <c r="F78" s="43" t="n">
        <f aca="false">SUM(B78:E78)</f>
        <v>9</v>
      </c>
      <c r="G78" s="60" t="n">
        <f aca="false">DATE(YEAR(A78),MONTH(A78),1)</f>
        <v>45717</v>
      </c>
      <c r="H78" s="63" t="n">
        <v>2</v>
      </c>
      <c r="I78" s="63" t="n">
        <v>0</v>
      </c>
      <c r="J78" s="43" t="n">
        <f aca="false">H78+I78</f>
        <v>2</v>
      </c>
    </row>
    <row r="79" customFormat="false" ht="15" hidden="false" customHeight="false" outlineLevel="0" collapsed="false">
      <c r="A79" s="62" t="n">
        <v>45732</v>
      </c>
      <c r="B79" s="63" t="n">
        <v>0</v>
      </c>
      <c r="C79" s="63" t="n">
        <v>0</v>
      </c>
      <c r="D79" s="63" t="n">
        <v>4</v>
      </c>
      <c r="E79" s="63" t="n">
        <v>0</v>
      </c>
      <c r="F79" s="43" t="n">
        <f aca="false">SUM(B79:E79)</f>
        <v>4</v>
      </c>
      <c r="G79" s="60" t="n">
        <f aca="false">DATE(YEAR(A79),MONTH(A79),1)</f>
        <v>45717</v>
      </c>
      <c r="H79" s="63" t="n">
        <v>2</v>
      </c>
      <c r="I79" s="63" t="n">
        <v>0</v>
      </c>
      <c r="J79" s="43" t="n">
        <f aca="false">H79+I79</f>
        <v>2</v>
      </c>
    </row>
    <row r="80" customFormat="false" ht="15" hidden="false" customHeight="false" outlineLevel="0" collapsed="false">
      <c r="A80" s="62" t="n">
        <v>45733</v>
      </c>
      <c r="B80" s="63" t="n">
        <v>0</v>
      </c>
      <c r="C80" s="63" t="n">
        <v>0</v>
      </c>
      <c r="D80" s="63" t="n">
        <v>2</v>
      </c>
      <c r="E80" s="63" t="n">
        <v>0</v>
      </c>
      <c r="F80" s="43" t="n">
        <f aca="false">SUM(B80:E80)</f>
        <v>2</v>
      </c>
      <c r="G80" s="60" t="n">
        <f aca="false">DATE(YEAR(A80),MONTH(A80),1)</f>
        <v>45717</v>
      </c>
      <c r="H80" s="63" t="n">
        <v>2</v>
      </c>
      <c r="I80" s="63" t="n">
        <v>0</v>
      </c>
      <c r="J80" s="43" t="n">
        <f aca="false">H80+I80</f>
        <v>2</v>
      </c>
    </row>
    <row r="81" customFormat="false" ht="15" hidden="false" customHeight="false" outlineLevel="0" collapsed="false">
      <c r="A81" s="62" t="n">
        <v>45734</v>
      </c>
      <c r="B81" s="63" t="n">
        <v>0</v>
      </c>
      <c r="C81" s="63" t="n">
        <v>0</v>
      </c>
      <c r="D81" s="63" t="n">
        <v>4</v>
      </c>
      <c r="E81" s="63" t="n">
        <v>0</v>
      </c>
      <c r="F81" s="43" t="n">
        <f aca="false">SUM(B81:E81)</f>
        <v>4</v>
      </c>
      <c r="G81" s="60" t="n">
        <f aca="false">DATE(YEAR(A81),MONTH(A81),1)</f>
        <v>45717</v>
      </c>
      <c r="H81" s="63" t="n">
        <v>4</v>
      </c>
      <c r="I81" s="63" t="n">
        <v>0</v>
      </c>
      <c r="J81" s="43" t="n">
        <f aca="false">H81+I81</f>
        <v>4</v>
      </c>
    </row>
    <row r="82" customFormat="false" ht="15" hidden="false" customHeight="false" outlineLevel="0" collapsed="false">
      <c r="A82" s="62" t="n">
        <v>45735</v>
      </c>
      <c r="B82" s="63" t="n">
        <v>0</v>
      </c>
      <c r="C82" s="63" t="n">
        <v>0</v>
      </c>
      <c r="D82" s="63" t="n">
        <v>2116</v>
      </c>
      <c r="E82" s="63" t="n">
        <v>0</v>
      </c>
      <c r="F82" s="43" t="n">
        <f aca="false">SUM(B82:E82)</f>
        <v>2116</v>
      </c>
      <c r="G82" s="60" t="n">
        <f aca="false">DATE(YEAR(A82),MONTH(A82),1)</f>
        <v>45717</v>
      </c>
      <c r="H82" s="63" t="n">
        <v>4</v>
      </c>
      <c r="I82" s="63" t="n">
        <v>0</v>
      </c>
      <c r="J82" s="43" t="n">
        <f aca="false">H82+I82</f>
        <v>4</v>
      </c>
    </row>
    <row r="83" customFormat="false" ht="15" hidden="false" customHeight="false" outlineLevel="0" collapsed="false">
      <c r="A83" s="62" t="n">
        <v>45736</v>
      </c>
      <c r="B83" s="63" t="n">
        <v>0</v>
      </c>
      <c r="C83" s="63" t="n">
        <v>0</v>
      </c>
      <c r="D83" s="63" t="n">
        <v>8936</v>
      </c>
      <c r="E83" s="63" t="n">
        <v>0</v>
      </c>
      <c r="F83" s="43" t="n">
        <f aca="false">SUM(B83:E83)</f>
        <v>8936</v>
      </c>
      <c r="G83" s="60" t="n">
        <f aca="false">DATE(YEAR(A83),MONTH(A83),1)</f>
        <v>45717</v>
      </c>
      <c r="H83" s="63" t="n">
        <v>10</v>
      </c>
      <c r="I83" s="63" t="n">
        <v>0</v>
      </c>
      <c r="J83" s="43" t="n">
        <f aca="false">H83+I83</f>
        <v>10</v>
      </c>
    </row>
    <row r="84" customFormat="false" ht="15" hidden="false" customHeight="false" outlineLevel="0" collapsed="false">
      <c r="A84" s="62" t="n">
        <v>45737</v>
      </c>
      <c r="B84" s="63" t="n">
        <v>0</v>
      </c>
      <c r="C84" s="63" t="n">
        <v>0</v>
      </c>
      <c r="D84" s="63" t="n">
        <v>58</v>
      </c>
      <c r="E84" s="63" t="n">
        <v>0</v>
      </c>
      <c r="F84" s="43" t="n">
        <f aca="false">SUM(B84:E84)</f>
        <v>58</v>
      </c>
      <c r="G84" s="60" t="n">
        <f aca="false">DATE(YEAR(A84),MONTH(A84),1)</f>
        <v>45717</v>
      </c>
      <c r="H84" s="63" t="n">
        <v>9</v>
      </c>
      <c r="I84" s="63" t="n">
        <v>0</v>
      </c>
      <c r="J84" s="43" t="n">
        <f aca="false">H84+I84</f>
        <v>9</v>
      </c>
    </row>
    <row r="85" customFormat="false" ht="15" hidden="false" customHeight="false" outlineLevel="0" collapsed="false">
      <c r="A85" s="62" t="n">
        <v>45738</v>
      </c>
      <c r="B85" s="63" t="n">
        <v>0</v>
      </c>
      <c r="C85" s="63" t="n">
        <v>0</v>
      </c>
      <c r="D85" s="63" t="n">
        <v>12</v>
      </c>
      <c r="E85" s="63" t="n">
        <v>0</v>
      </c>
      <c r="F85" s="43" t="n">
        <f aca="false">SUM(B85:E85)</f>
        <v>12</v>
      </c>
      <c r="G85" s="60" t="n">
        <f aca="false">DATE(YEAR(A85),MONTH(A85),1)</f>
        <v>45717</v>
      </c>
      <c r="H85" s="63" t="n">
        <v>3</v>
      </c>
      <c r="I85" s="63" t="n">
        <v>0</v>
      </c>
      <c r="J85" s="43" t="n">
        <f aca="false">H85+I85</f>
        <v>3</v>
      </c>
    </row>
    <row r="86" customFormat="false" ht="15" hidden="false" customHeight="false" outlineLevel="0" collapsed="false">
      <c r="A86" s="62" t="n">
        <v>45739</v>
      </c>
      <c r="B86" s="63" t="n">
        <v>0</v>
      </c>
      <c r="C86" s="63" t="n">
        <v>0</v>
      </c>
      <c r="D86" s="63" t="n">
        <v>3430</v>
      </c>
      <c r="E86" s="63" t="n">
        <v>0</v>
      </c>
      <c r="F86" s="43" t="n">
        <f aca="false">SUM(B86:E86)</f>
        <v>3430</v>
      </c>
      <c r="G86" s="60" t="n">
        <f aca="false">DATE(YEAR(A86),MONTH(A86),1)</f>
        <v>45717</v>
      </c>
      <c r="H86" s="63" t="n">
        <v>3</v>
      </c>
      <c r="I86" s="63" t="n">
        <v>0</v>
      </c>
      <c r="J86" s="43" t="n">
        <f aca="false">H86+I86</f>
        <v>3</v>
      </c>
    </row>
    <row r="87" customFormat="false" ht="15" hidden="false" customHeight="false" outlineLevel="0" collapsed="false">
      <c r="A87" s="62" t="n">
        <v>45740</v>
      </c>
      <c r="B87" s="63" t="n">
        <v>0</v>
      </c>
      <c r="C87" s="63" t="n">
        <v>0</v>
      </c>
      <c r="D87" s="63" t="n">
        <v>59</v>
      </c>
      <c r="E87" s="63" t="n">
        <v>0</v>
      </c>
      <c r="F87" s="43" t="n">
        <f aca="false">SUM(B87:E87)</f>
        <v>59</v>
      </c>
      <c r="G87" s="60" t="n">
        <f aca="false">DATE(YEAR(A87),MONTH(A87),1)</f>
        <v>45717</v>
      </c>
      <c r="H87" s="63" t="n">
        <v>2</v>
      </c>
      <c r="I87" s="63" t="n">
        <v>0</v>
      </c>
      <c r="J87" s="43" t="n">
        <f aca="false">H87+I87</f>
        <v>2</v>
      </c>
    </row>
    <row r="88" customFormat="false" ht="15" hidden="false" customHeight="false" outlineLevel="0" collapsed="false">
      <c r="A88" s="62" t="n">
        <v>45741</v>
      </c>
      <c r="B88" s="63" t="n">
        <v>0</v>
      </c>
      <c r="C88" s="63" t="n">
        <v>0</v>
      </c>
      <c r="D88" s="63" t="n">
        <v>5711</v>
      </c>
      <c r="E88" s="63" t="n">
        <v>0</v>
      </c>
      <c r="F88" s="43" t="n">
        <f aca="false">SUM(B88:E88)</f>
        <v>5711</v>
      </c>
      <c r="G88" s="60" t="n">
        <f aca="false">DATE(YEAR(A88),MONTH(A88),1)</f>
        <v>45717</v>
      </c>
      <c r="H88" s="63" t="n">
        <v>6</v>
      </c>
      <c r="I88" s="63" t="n">
        <v>0</v>
      </c>
      <c r="J88" s="43" t="n">
        <f aca="false">H88+I88</f>
        <v>6</v>
      </c>
    </row>
    <row r="89" customFormat="false" ht="15" hidden="false" customHeight="false" outlineLevel="0" collapsed="false">
      <c r="A89" s="62" t="n">
        <v>45742</v>
      </c>
      <c r="B89" s="63" t="n">
        <v>0</v>
      </c>
      <c r="C89" s="63" t="n">
        <v>0</v>
      </c>
      <c r="D89" s="63" t="n">
        <v>8065</v>
      </c>
      <c r="E89" s="63" t="n">
        <v>0</v>
      </c>
      <c r="F89" s="43" t="n">
        <f aca="false">SUM(B89:E89)</f>
        <v>8065</v>
      </c>
      <c r="G89" s="60" t="n">
        <f aca="false">DATE(YEAR(A89),MONTH(A89),1)</f>
        <v>45717</v>
      </c>
      <c r="H89" s="63" t="n">
        <v>18</v>
      </c>
      <c r="I89" s="63" t="n">
        <v>0</v>
      </c>
      <c r="J89" s="43" t="n">
        <f aca="false">H89+I89</f>
        <v>18</v>
      </c>
    </row>
    <row r="90" customFormat="false" ht="15" hidden="false" customHeight="false" outlineLevel="0" collapsed="false">
      <c r="A90" s="62" t="n">
        <v>45743</v>
      </c>
      <c r="B90" s="63" t="n">
        <v>0</v>
      </c>
      <c r="C90" s="63" t="n">
        <v>0</v>
      </c>
      <c r="D90" s="63" t="n">
        <v>45</v>
      </c>
      <c r="E90" s="63" t="n">
        <v>0</v>
      </c>
      <c r="F90" s="43" t="n">
        <f aca="false">SUM(B90:E90)</f>
        <v>45</v>
      </c>
      <c r="G90" s="60" t="n">
        <f aca="false">DATE(YEAR(A90),MONTH(A90),1)</f>
        <v>45717</v>
      </c>
      <c r="H90" s="63" t="n">
        <v>5</v>
      </c>
      <c r="I90" s="63" t="n">
        <v>0</v>
      </c>
      <c r="J90" s="43" t="n">
        <f aca="false">H90+I90</f>
        <v>5</v>
      </c>
    </row>
    <row r="91" customFormat="false" ht="15" hidden="false" customHeight="false" outlineLevel="0" collapsed="false">
      <c r="A91" s="62" t="n">
        <v>45744</v>
      </c>
      <c r="B91" s="63" t="n">
        <v>0</v>
      </c>
      <c r="C91" s="63" t="n">
        <v>0</v>
      </c>
      <c r="D91" s="63" t="n">
        <v>3194</v>
      </c>
      <c r="E91" s="63" t="n">
        <v>0</v>
      </c>
      <c r="F91" s="43" t="n">
        <f aca="false">SUM(B91:E91)</f>
        <v>3194</v>
      </c>
      <c r="G91" s="60" t="n">
        <f aca="false">DATE(YEAR(A91),MONTH(A91),1)</f>
        <v>45717</v>
      </c>
      <c r="H91" s="63" t="n">
        <v>2</v>
      </c>
      <c r="I91" s="63" t="n">
        <v>0</v>
      </c>
      <c r="J91" s="43" t="n">
        <f aca="false">H91+I91</f>
        <v>2</v>
      </c>
    </row>
    <row r="92" customFormat="false" ht="15" hidden="false" customHeight="false" outlineLevel="0" collapsed="false">
      <c r="A92" s="62" t="n">
        <v>45745</v>
      </c>
      <c r="B92" s="63" t="n">
        <v>0</v>
      </c>
      <c r="C92" s="63" t="n">
        <v>0</v>
      </c>
      <c r="D92" s="63" t="n">
        <v>15288</v>
      </c>
      <c r="E92" s="63" t="n">
        <v>0</v>
      </c>
      <c r="F92" s="43" t="n">
        <f aca="false">SUM(B92:E92)</f>
        <v>15288</v>
      </c>
      <c r="G92" s="60" t="n">
        <f aca="false">DATE(YEAR(A92),MONTH(A92),1)</f>
        <v>45717</v>
      </c>
      <c r="H92" s="63" t="n">
        <v>1</v>
      </c>
      <c r="I92" s="63" t="n">
        <v>0</v>
      </c>
      <c r="J92" s="43" t="n">
        <f aca="false">H92+I92</f>
        <v>1</v>
      </c>
    </row>
    <row r="93" customFormat="false" ht="15" hidden="false" customHeight="false" outlineLevel="0" collapsed="false">
      <c r="A93" s="62" t="n">
        <v>45746</v>
      </c>
      <c r="B93" s="63" t="n">
        <v>0</v>
      </c>
      <c r="C93" s="63" t="n">
        <v>0</v>
      </c>
      <c r="D93" s="63" t="n">
        <v>55</v>
      </c>
      <c r="E93" s="63" t="n">
        <v>0</v>
      </c>
      <c r="F93" s="43" t="n">
        <f aca="false">SUM(B93:E93)</f>
        <v>55</v>
      </c>
      <c r="G93" s="60" t="n">
        <f aca="false">DATE(YEAR(A93),MONTH(A93),1)</f>
        <v>45717</v>
      </c>
      <c r="H93" s="63" t="n">
        <v>4</v>
      </c>
      <c r="I93" s="63" t="n">
        <v>0</v>
      </c>
      <c r="J93" s="43" t="n">
        <f aca="false">H93+I93</f>
        <v>4</v>
      </c>
    </row>
    <row r="94" customFormat="false" ht="15" hidden="false" customHeight="false" outlineLevel="0" collapsed="false">
      <c r="A94" s="62" t="n">
        <v>45747</v>
      </c>
      <c r="B94" s="63" t="n">
        <v>0</v>
      </c>
      <c r="C94" s="63" t="n">
        <v>0</v>
      </c>
      <c r="D94" s="63" t="n">
        <v>43</v>
      </c>
      <c r="E94" s="63" t="n">
        <v>0</v>
      </c>
      <c r="F94" s="43" t="n">
        <f aca="false">SUM(B94:E94)</f>
        <v>43</v>
      </c>
      <c r="G94" s="60" t="n">
        <f aca="false">DATE(YEAR(A94),MONTH(A94),1)</f>
        <v>45717</v>
      </c>
      <c r="H94" s="63" t="n">
        <v>14</v>
      </c>
      <c r="I94" s="63" t="n">
        <v>0</v>
      </c>
      <c r="J94" s="43" t="n">
        <f aca="false">H94+I94</f>
        <v>14</v>
      </c>
    </row>
    <row r="95" customFormat="false" ht="15" hidden="false" customHeight="false" outlineLevel="0" collapsed="false">
      <c r="A95" s="62" t="n">
        <v>45748</v>
      </c>
      <c r="B95" s="63" t="n">
        <v>0</v>
      </c>
      <c r="C95" s="63" t="n">
        <v>0</v>
      </c>
      <c r="D95" s="63" t="n">
        <v>23</v>
      </c>
      <c r="E95" s="63" t="n">
        <v>0</v>
      </c>
      <c r="F95" s="43" t="n">
        <f aca="false">SUM(B95:E95)</f>
        <v>23</v>
      </c>
      <c r="G95" s="60" t="n">
        <f aca="false">DATE(YEAR(A95),MONTH(A95),1)</f>
        <v>45748</v>
      </c>
      <c r="H95" s="63" t="n">
        <v>2</v>
      </c>
      <c r="I95" s="63" t="n">
        <v>0</v>
      </c>
      <c r="J95" s="43" t="n">
        <f aca="false">H95+I95</f>
        <v>2</v>
      </c>
    </row>
    <row r="96" customFormat="false" ht="15" hidden="false" customHeight="false" outlineLevel="0" collapsed="false">
      <c r="A96" s="62" t="n">
        <v>45749</v>
      </c>
      <c r="B96" s="63" t="n">
        <v>0</v>
      </c>
      <c r="C96" s="63" t="n">
        <v>0</v>
      </c>
      <c r="D96" s="63" t="n">
        <v>17</v>
      </c>
      <c r="E96" s="63" t="n">
        <v>0</v>
      </c>
      <c r="F96" s="43" t="n">
        <f aca="false">SUM(B96:E96)</f>
        <v>17</v>
      </c>
      <c r="G96" s="60" t="n">
        <f aca="false">DATE(YEAR(A96),MONTH(A96),1)</f>
        <v>45748</v>
      </c>
      <c r="H96" s="63" t="n">
        <v>5</v>
      </c>
      <c r="I96" s="63" t="n">
        <v>0</v>
      </c>
      <c r="J96" s="43" t="n">
        <f aca="false">H96+I96</f>
        <v>5</v>
      </c>
    </row>
    <row r="97" customFormat="false" ht="15" hidden="false" customHeight="false" outlineLevel="0" collapsed="false">
      <c r="A97" s="62" t="n">
        <v>45750</v>
      </c>
      <c r="B97" s="63" t="n">
        <v>0</v>
      </c>
      <c r="C97" s="63" t="n">
        <v>0</v>
      </c>
      <c r="D97" s="63" t="n">
        <v>12</v>
      </c>
      <c r="E97" s="63" t="n">
        <v>0</v>
      </c>
      <c r="F97" s="43" t="n">
        <f aca="false">SUM(B97:E97)</f>
        <v>12</v>
      </c>
      <c r="G97" s="60" t="n">
        <f aca="false">DATE(YEAR(A97),MONTH(A97),1)</f>
        <v>45748</v>
      </c>
      <c r="H97" s="63" t="n">
        <v>4</v>
      </c>
      <c r="I97" s="63" t="n">
        <v>0</v>
      </c>
      <c r="J97" s="43" t="n">
        <f aca="false">H97+I97</f>
        <v>4</v>
      </c>
    </row>
    <row r="98" customFormat="false" ht="15" hidden="false" customHeight="false" outlineLevel="0" collapsed="false">
      <c r="A98" s="62" t="n">
        <v>45751</v>
      </c>
      <c r="B98" s="63" t="n">
        <v>0</v>
      </c>
      <c r="C98" s="63" t="n">
        <v>0</v>
      </c>
      <c r="D98" s="63" t="n">
        <v>6151</v>
      </c>
      <c r="E98" s="63" t="n">
        <v>0</v>
      </c>
      <c r="F98" s="43" t="n">
        <f aca="false">SUM(B98:E98)</f>
        <v>6151</v>
      </c>
      <c r="G98" s="60" t="n">
        <f aca="false">DATE(YEAR(A98),MONTH(A98),1)</f>
        <v>45748</v>
      </c>
      <c r="H98" s="63" t="n">
        <v>1</v>
      </c>
      <c r="I98" s="63" t="n">
        <v>0</v>
      </c>
      <c r="J98" s="43" t="n">
        <f aca="false">H98+I98</f>
        <v>1</v>
      </c>
    </row>
    <row r="99" customFormat="false" ht="15" hidden="false" customHeight="false" outlineLevel="0" collapsed="false">
      <c r="A99" s="62" t="n">
        <v>45752</v>
      </c>
      <c r="B99" s="63" t="n">
        <v>0</v>
      </c>
      <c r="C99" s="63" t="n">
        <v>0</v>
      </c>
      <c r="D99" s="63" t="n">
        <v>11</v>
      </c>
      <c r="E99" s="63" t="n">
        <v>0</v>
      </c>
      <c r="F99" s="43" t="n">
        <f aca="false">SUM(B99:E99)</f>
        <v>11</v>
      </c>
      <c r="G99" s="60" t="n">
        <f aca="false">DATE(YEAR(A99),MONTH(A99),1)</f>
        <v>45748</v>
      </c>
      <c r="H99" s="63" t="n">
        <v>4</v>
      </c>
      <c r="I99" s="63" t="n">
        <v>0</v>
      </c>
      <c r="J99" s="43" t="n">
        <f aca="false">H99+I99</f>
        <v>4</v>
      </c>
    </row>
    <row r="100" customFormat="false" ht="15" hidden="false" customHeight="false" outlineLevel="0" collapsed="false">
      <c r="A100" s="62" t="n">
        <v>45753</v>
      </c>
      <c r="B100" s="63" t="n">
        <v>0</v>
      </c>
      <c r="C100" s="63" t="n">
        <v>0</v>
      </c>
      <c r="D100" s="63" t="n">
        <v>7423</v>
      </c>
      <c r="E100" s="63" t="n">
        <v>0</v>
      </c>
      <c r="F100" s="43" t="n">
        <f aca="false">SUM(B100:E100)</f>
        <v>7423</v>
      </c>
      <c r="G100" s="60" t="n">
        <f aca="false">DATE(YEAR(A100),MONTH(A100),1)</f>
        <v>45748</v>
      </c>
      <c r="H100" s="63" t="n">
        <v>0</v>
      </c>
      <c r="I100" s="63" t="n">
        <v>0</v>
      </c>
      <c r="J100" s="43" t="n">
        <f aca="false">H100+I100</f>
        <v>0</v>
      </c>
    </row>
    <row r="101" customFormat="false" ht="15" hidden="false" customHeight="false" outlineLevel="0" collapsed="false">
      <c r="A101" s="62" t="n">
        <v>45754</v>
      </c>
      <c r="B101" s="63" t="n">
        <v>0</v>
      </c>
      <c r="C101" s="63" t="n">
        <v>0</v>
      </c>
      <c r="D101" s="63" t="n">
        <v>180</v>
      </c>
      <c r="E101" s="63" t="n">
        <v>0</v>
      </c>
      <c r="F101" s="43" t="n">
        <f aca="false">SUM(B101:E101)</f>
        <v>180</v>
      </c>
      <c r="G101" s="60" t="n">
        <f aca="false">DATE(YEAR(A101),MONTH(A101),1)</f>
        <v>45748</v>
      </c>
      <c r="H101" s="63" t="n">
        <v>7</v>
      </c>
      <c r="I101" s="63" t="n">
        <v>0</v>
      </c>
      <c r="J101" s="43" t="n">
        <f aca="false">H101+I101</f>
        <v>7</v>
      </c>
    </row>
    <row r="102" customFormat="false" ht="15" hidden="false" customHeight="false" outlineLevel="0" collapsed="false">
      <c r="A102" s="62" t="n">
        <v>45755</v>
      </c>
      <c r="B102" s="63" t="n">
        <v>0</v>
      </c>
      <c r="C102" s="63" t="n">
        <v>0</v>
      </c>
      <c r="D102" s="63" t="n">
        <v>13</v>
      </c>
      <c r="E102" s="63" t="n">
        <v>0</v>
      </c>
      <c r="F102" s="43" t="n">
        <f aca="false">SUM(B102:E102)</f>
        <v>13</v>
      </c>
      <c r="G102" s="60" t="n">
        <f aca="false">DATE(YEAR(A102),MONTH(A102),1)</f>
        <v>45748</v>
      </c>
      <c r="H102" s="63" t="n">
        <v>12</v>
      </c>
      <c r="I102" s="63" t="n">
        <v>0</v>
      </c>
      <c r="J102" s="43" t="n">
        <f aca="false">H102+I102</f>
        <v>12</v>
      </c>
    </row>
    <row r="103" customFormat="false" ht="15" hidden="false" customHeight="false" outlineLevel="0" collapsed="false">
      <c r="A103" s="62" t="n">
        <v>45756</v>
      </c>
      <c r="B103" s="63" t="n">
        <v>0</v>
      </c>
      <c r="C103" s="63" t="n">
        <v>0</v>
      </c>
      <c r="D103" s="63" t="n">
        <v>1706</v>
      </c>
      <c r="E103" s="63" t="n">
        <v>0</v>
      </c>
      <c r="F103" s="43" t="n">
        <f aca="false">SUM(B103:E103)</f>
        <v>1706</v>
      </c>
      <c r="G103" s="60" t="n">
        <f aca="false">DATE(YEAR(A103),MONTH(A103),1)</f>
        <v>45748</v>
      </c>
      <c r="H103" s="63" t="n">
        <v>10</v>
      </c>
      <c r="I103" s="63" t="n">
        <v>0</v>
      </c>
      <c r="J103" s="43" t="n">
        <f aca="false">H103+I103</f>
        <v>10</v>
      </c>
    </row>
    <row r="104" customFormat="false" ht="15" hidden="false" customHeight="false" outlineLevel="0" collapsed="false">
      <c r="A104" s="62" t="n">
        <v>45757</v>
      </c>
      <c r="B104" s="63" t="n">
        <v>0</v>
      </c>
      <c r="C104" s="63" t="n">
        <v>0</v>
      </c>
      <c r="D104" s="63" t="n">
        <v>166</v>
      </c>
      <c r="E104" s="63" t="n">
        <v>0</v>
      </c>
      <c r="F104" s="43" t="n">
        <f aca="false">SUM(B104:E104)</f>
        <v>166</v>
      </c>
      <c r="G104" s="60" t="n">
        <f aca="false">DATE(YEAR(A104),MONTH(A104),1)</f>
        <v>45748</v>
      </c>
      <c r="H104" s="63" t="n">
        <v>32</v>
      </c>
      <c r="I104" s="63" t="n">
        <v>0</v>
      </c>
      <c r="J104" s="43" t="n">
        <f aca="false">H104+I104</f>
        <v>32</v>
      </c>
    </row>
    <row r="105" customFormat="false" ht="15" hidden="false" customHeight="false" outlineLevel="0" collapsed="false">
      <c r="A105" s="62" t="n">
        <v>45758</v>
      </c>
      <c r="B105" s="63" t="n">
        <v>0</v>
      </c>
      <c r="C105" s="63" t="n">
        <v>0</v>
      </c>
      <c r="D105" s="63" t="n">
        <v>16</v>
      </c>
      <c r="E105" s="63" t="n">
        <v>0</v>
      </c>
      <c r="F105" s="43" t="n">
        <f aca="false">SUM(B105:E105)</f>
        <v>16</v>
      </c>
      <c r="G105" s="60" t="n">
        <f aca="false">DATE(YEAR(A105),MONTH(A105),1)</f>
        <v>45748</v>
      </c>
      <c r="H105" s="63" t="n">
        <v>3</v>
      </c>
      <c r="I105" s="63" t="n">
        <v>0</v>
      </c>
      <c r="J105" s="43" t="n">
        <f aca="false">H105+I105</f>
        <v>3</v>
      </c>
    </row>
    <row r="106" customFormat="false" ht="15" hidden="false" customHeight="false" outlineLevel="0" collapsed="false">
      <c r="A106" s="62" t="n">
        <v>45759</v>
      </c>
      <c r="B106" s="63" t="n">
        <v>0</v>
      </c>
      <c r="C106" s="63" t="n">
        <v>0</v>
      </c>
      <c r="D106" s="63" t="n">
        <v>3</v>
      </c>
      <c r="E106" s="63" t="n">
        <v>0</v>
      </c>
      <c r="F106" s="43" t="n">
        <f aca="false">SUM(B106:E106)</f>
        <v>3</v>
      </c>
      <c r="G106" s="60" t="n">
        <f aca="false">DATE(YEAR(A106),MONTH(A106),1)</f>
        <v>45748</v>
      </c>
      <c r="H106" s="63" t="n">
        <v>1</v>
      </c>
      <c r="I106" s="63" t="n">
        <v>0</v>
      </c>
      <c r="J106" s="43" t="n">
        <f aca="false">H106+I106</f>
        <v>1</v>
      </c>
    </row>
    <row r="107" customFormat="false" ht="15" hidden="false" customHeight="false" outlineLevel="0" collapsed="false">
      <c r="A107" s="62" t="n">
        <v>45760</v>
      </c>
      <c r="B107" s="63" t="n">
        <v>0</v>
      </c>
      <c r="C107" s="63" t="n">
        <v>0</v>
      </c>
      <c r="D107" s="63" t="n">
        <v>13970</v>
      </c>
      <c r="E107" s="63" t="n">
        <v>0</v>
      </c>
      <c r="F107" s="43" t="n">
        <f aca="false">SUM(B107:E107)</f>
        <v>13970</v>
      </c>
      <c r="G107" s="60" t="n">
        <f aca="false">DATE(YEAR(A107),MONTH(A107),1)</f>
        <v>45748</v>
      </c>
      <c r="H107" s="63" t="n">
        <v>1</v>
      </c>
      <c r="I107" s="63" t="n">
        <v>0</v>
      </c>
      <c r="J107" s="43" t="n">
        <f aca="false">H107+I107</f>
        <v>1</v>
      </c>
    </row>
    <row r="108" customFormat="false" ht="15" hidden="false" customHeight="false" outlineLevel="0" collapsed="false">
      <c r="A108" s="62" t="n">
        <v>45761</v>
      </c>
      <c r="B108" s="63" t="n">
        <v>0</v>
      </c>
      <c r="C108" s="63" t="n">
        <v>0</v>
      </c>
      <c r="D108" s="63" t="n">
        <v>568</v>
      </c>
      <c r="E108" s="63" t="n">
        <v>0</v>
      </c>
      <c r="F108" s="43" t="n">
        <f aca="false">SUM(B108:E108)</f>
        <v>568</v>
      </c>
      <c r="G108" s="60" t="n">
        <f aca="false">DATE(YEAR(A108),MONTH(A108),1)</f>
        <v>45748</v>
      </c>
      <c r="H108" s="63" t="n">
        <v>20</v>
      </c>
      <c r="I108" s="63" t="n">
        <v>0</v>
      </c>
      <c r="J108" s="43" t="n">
        <f aca="false">H108+I108</f>
        <v>20</v>
      </c>
    </row>
    <row r="109" customFormat="false" ht="15" hidden="false" customHeight="false" outlineLevel="0" collapsed="false">
      <c r="A109" s="62" t="n">
        <v>45762</v>
      </c>
      <c r="B109" s="63" t="n">
        <v>0</v>
      </c>
      <c r="C109" s="63" t="n">
        <v>0</v>
      </c>
      <c r="D109" s="63" t="n">
        <v>33</v>
      </c>
      <c r="E109" s="63" t="n">
        <v>0</v>
      </c>
      <c r="F109" s="43" t="n">
        <f aca="false">SUM(B109:E109)</f>
        <v>33</v>
      </c>
      <c r="G109" s="60" t="n">
        <f aca="false">DATE(YEAR(A109),MONTH(A109),1)</f>
        <v>45748</v>
      </c>
      <c r="H109" s="63" t="n">
        <v>70</v>
      </c>
      <c r="I109" s="63" t="n">
        <v>0</v>
      </c>
      <c r="J109" s="43" t="n">
        <f aca="false">H109+I109</f>
        <v>70</v>
      </c>
    </row>
    <row r="110" customFormat="false" ht="15" hidden="false" customHeight="false" outlineLevel="0" collapsed="false">
      <c r="A110" s="62" t="n">
        <v>45763</v>
      </c>
      <c r="B110" s="63" t="n">
        <v>0</v>
      </c>
      <c r="C110" s="63" t="n">
        <v>0</v>
      </c>
      <c r="D110" s="63" t="n">
        <v>3143</v>
      </c>
      <c r="E110" s="63" t="n">
        <v>0</v>
      </c>
      <c r="F110" s="43" t="n">
        <f aca="false">SUM(B110:E110)</f>
        <v>3143</v>
      </c>
      <c r="G110" s="60" t="n">
        <f aca="false">DATE(YEAR(A110),MONTH(A110),1)</f>
        <v>45748</v>
      </c>
      <c r="H110" s="63" t="n">
        <v>18</v>
      </c>
      <c r="I110" s="63" t="n">
        <v>0</v>
      </c>
      <c r="J110" s="43" t="n">
        <f aca="false">H110+I110</f>
        <v>18</v>
      </c>
    </row>
    <row r="111" customFormat="false" ht="15" hidden="false" customHeight="false" outlineLevel="0" collapsed="false">
      <c r="A111" s="62" t="n">
        <v>45764</v>
      </c>
      <c r="B111" s="63" t="n">
        <v>0</v>
      </c>
      <c r="C111" s="63" t="n">
        <v>0</v>
      </c>
      <c r="D111" s="63" t="n">
        <v>6</v>
      </c>
      <c r="E111" s="63" t="n">
        <v>0</v>
      </c>
      <c r="F111" s="43" t="n">
        <f aca="false">SUM(B111:E111)</f>
        <v>6</v>
      </c>
      <c r="G111" s="60" t="n">
        <f aca="false">DATE(YEAR(A111),MONTH(A111),1)</f>
        <v>45748</v>
      </c>
      <c r="H111" s="63" t="n">
        <v>18</v>
      </c>
      <c r="I111" s="63" t="n">
        <v>0</v>
      </c>
      <c r="J111" s="43" t="n">
        <f aca="false">H111+I111</f>
        <v>18</v>
      </c>
    </row>
    <row r="112" customFormat="false" ht="15" hidden="false" customHeight="false" outlineLevel="0" collapsed="false">
      <c r="A112" s="62" t="n">
        <v>45765</v>
      </c>
      <c r="B112" s="63" t="n">
        <v>0</v>
      </c>
      <c r="C112" s="63" t="n">
        <v>0</v>
      </c>
      <c r="D112" s="63" t="n">
        <v>6</v>
      </c>
      <c r="E112" s="63" t="n">
        <v>0</v>
      </c>
      <c r="F112" s="43" t="n">
        <f aca="false">SUM(B112:E112)</f>
        <v>6</v>
      </c>
      <c r="G112" s="60" t="n">
        <f aca="false">DATE(YEAR(A112),MONTH(A112),1)</f>
        <v>45748</v>
      </c>
      <c r="H112" s="63" t="n">
        <v>3</v>
      </c>
      <c r="I112" s="63" t="n">
        <v>0</v>
      </c>
      <c r="J112" s="43" t="n">
        <f aca="false">H112+I112</f>
        <v>3</v>
      </c>
    </row>
    <row r="113" customFormat="false" ht="15" hidden="false" customHeight="false" outlineLevel="0" collapsed="false">
      <c r="A113" s="62" t="n">
        <v>45766</v>
      </c>
      <c r="B113" s="63" t="n">
        <v>0</v>
      </c>
      <c r="C113" s="63" t="n">
        <v>0</v>
      </c>
      <c r="D113" s="63" t="n">
        <v>494</v>
      </c>
      <c r="E113" s="63" t="n">
        <v>0</v>
      </c>
      <c r="F113" s="43" t="n">
        <f aca="false">SUM(B113:E113)</f>
        <v>494</v>
      </c>
      <c r="G113" s="60" t="n">
        <f aca="false">DATE(YEAR(A113),MONTH(A113),1)</f>
        <v>45748</v>
      </c>
      <c r="H113" s="63" t="n">
        <v>3</v>
      </c>
      <c r="I113" s="63" t="n">
        <v>0</v>
      </c>
      <c r="J113" s="43" t="n">
        <f aca="false">H113+I113</f>
        <v>3</v>
      </c>
    </row>
    <row r="114" customFormat="false" ht="15" hidden="false" customHeight="false" outlineLevel="0" collapsed="false">
      <c r="A114" s="62" t="n">
        <v>45767</v>
      </c>
      <c r="B114" s="63" t="n">
        <v>0</v>
      </c>
      <c r="C114" s="63" t="n">
        <v>0</v>
      </c>
      <c r="D114" s="63" t="n">
        <v>4</v>
      </c>
      <c r="E114" s="63" t="n">
        <v>0</v>
      </c>
      <c r="F114" s="43" t="n">
        <f aca="false">SUM(B114:E114)</f>
        <v>4</v>
      </c>
      <c r="G114" s="60" t="n">
        <f aca="false">DATE(YEAR(A114),MONTH(A114),1)</f>
        <v>45748</v>
      </c>
      <c r="H114" s="63" t="n">
        <v>0</v>
      </c>
      <c r="I114" s="63" t="n">
        <v>0</v>
      </c>
      <c r="J114" s="43" t="n">
        <f aca="false">H114+I114</f>
        <v>0</v>
      </c>
    </row>
    <row r="115" customFormat="false" ht="15" hidden="false" customHeight="false" outlineLevel="0" collapsed="false">
      <c r="A115" s="62" t="n">
        <v>45768</v>
      </c>
      <c r="B115" s="63" t="n">
        <v>0</v>
      </c>
      <c r="C115" s="63" t="n">
        <v>0</v>
      </c>
      <c r="D115" s="63" t="n">
        <v>12537</v>
      </c>
      <c r="E115" s="63" t="n">
        <v>0</v>
      </c>
      <c r="F115" s="43" t="n">
        <f aca="false">SUM(B115:E115)</f>
        <v>12537</v>
      </c>
      <c r="G115" s="60" t="n">
        <f aca="false">DATE(YEAR(A115),MONTH(A115),1)</f>
        <v>45748</v>
      </c>
      <c r="H115" s="63" t="n">
        <v>1</v>
      </c>
      <c r="I115" s="63" t="n">
        <v>0</v>
      </c>
      <c r="J115" s="43" t="n">
        <f aca="false">H115+I115</f>
        <v>1</v>
      </c>
    </row>
    <row r="116" customFormat="false" ht="15" hidden="false" customHeight="false" outlineLevel="0" collapsed="false">
      <c r="A116" s="62" t="n">
        <v>45769</v>
      </c>
      <c r="B116" s="63" t="n">
        <v>0</v>
      </c>
      <c r="C116" s="63" t="n">
        <v>0</v>
      </c>
      <c r="D116" s="63" t="n">
        <v>3654</v>
      </c>
      <c r="E116" s="63" t="n">
        <v>0</v>
      </c>
      <c r="F116" s="43" t="n">
        <f aca="false">SUM(B116:E116)</f>
        <v>3654</v>
      </c>
      <c r="G116" s="60" t="n">
        <f aca="false">DATE(YEAR(A116),MONTH(A116),1)</f>
        <v>45748</v>
      </c>
      <c r="H116" s="63" t="n">
        <v>3</v>
      </c>
      <c r="I116" s="63" t="n">
        <v>0</v>
      </c>
      <c r="J116" s="43" t="n">
        <f aca="false">H116+I116</f>
        <v>3</v>
      </c>
    </row>
    <row r="117" customFormat="false" ht="15" hidden="false" customHeight="false" outlineLevel="0" collapsed="false">
      <c r="A117" s="62" t="n">
        <v>45770</v>
      </c>
      <c r="B117" s="63" t="n">
        <v>0</v>
      </c>
      <c r="C117" s="63" t="n">
        <v>0</v>
      </c>
      <c r="D117" s="63" t="n">
        <v>12839</v>
      </c>
      <c r="E117" s="63" t="n">
        <v>0</v>
      </c>
      <c r="F117" s="43" t="n">
        <f aca="false">SUM(B117:E117)</f>
        <v>12839</v>
      </c>
      <c r="G117" s="60" t="n">
        <f aca="false">DATE(YEAR(A117),MONTH(A117),1)</f>
        <v>45748</v>
      </c>
      <c r="H117" s="63" t="n">
        <v>25</v>
      </c>
      <c r="I117" s="63" t="n">
        <v>0</v>
      </c>
      <c r="J117" s="43" t="n">
        <f aca="false">H117+I117</f>
        <v>25</v>
      </c>
    </row>
    <row r="118" customFormat="false" ht="15" hidden="false" customHeight="false" outlineLevel="0" collapsed="false">
      <c r="A118" s="62" t="n">
        <v>45771</v>
      </c>
      <c r="B118" s="63" t="n">
        <v>0</v>
      </c>
      <c r="C118" s="63" t="n">
        <v>0</v>
      </c>
      <c r="D118" s="63" t="n">
        <v>43</v>
      </c>
      <c r="E118" s="63" t="n">
        <v>0</v>
      </c>
      <c r="F118" s="43" t="n">
        <f aca="false">SUM(B118:E118)</f>
        <v>43</v>
      </c>
      <c r="G118" s="60" t="n">
        <f aca="false">DATE(YEAR(A118),MONTH(A118),1)</f>
        <v>45748</v>
      </c>
      <c r="H118" s="63" t="n">
        <v>9</v>
      </c>
      <c r="I118" s="63" t="n">
        <v>0</v>
      </c>
      <c r="J118" s="43" t="n">
        <f aca="false">H118+I118</f>
        <v>9</v>
      </c>
    </row>
    <row r="119" customFormat="false" ht="15" hidden="false" customHeight="false" outlineLevel="0" collapsed="false">
      <c r="A119" s="62" t="n">
        <v>45772</v>
      </c>
      <c r="B119" s="63" t="n">
        <v>0</v>
      </c>
      <c r="C119" s="63" t="n">
        <v>0</v>
      </c>
      <c r="D119" s="63" t="n">
        <v>3966</v>
      </c>
      <c r="E119" s="63" t="n">
        <v>0</v>
      </c>
      <c r="F119" s="43" t="n">
        <f aca="false">SUM(B119:E119)</f>
        <v>3966</v>
      </c>
      <c r="G119" s="60" t="n">
        <f aca="false">DATE(YEAR(A119),MONTH(A119),1)</f>
        <v>45748</v>
      </c>
      <c r="H119" s="63" t="n">
        <v>5</v>
      </c>
      <c r="I119" s="63" t="n">
        <v>0</v>
      </c>
      <c r="J119" s="43" t="n">
        <f aca="false">H119+I119</f>
        <v>5</v>
      </c>
    </row>
    <row r="120" customFormat="false" ht="15" hidden="false" customHeight="false" outlineLevel="0" collapsed="false">
      <c r="A120" s="62" t="n">
        <v>45773</v>
      </c>
      <c r="B120" s="63" t="n">
        <v>0</v>
      </c>
      <c r="C120" s="63" t="n">
        <v>0</v>
      </c>
      <c r="D120" s="63" t="n">
        <v>13</v>
      </c>
      <c r="E120" s="63" t="n">
        <v>0</v>
      </c>
      <c r="F120" s="43" t="n">
        <f aca="false">SUM(B120:E120)</f>
        <v>13</v>
      </c>
      <c r="G120" s="60" t="n">
        <f aca="false">DATE(YEAR(A120),MONTH(A120),1)</f>
        <v>45748</v>
      </c>
      <c r="H120" s="63" t="n">
        <v>4</v>
      </c>
      <c r="I120" s="63" t="n">
        <v>0</v>
      </c>
      <c r="J120" s="43" t="n">
        <f aca="false">H120+I120</f>
        <v>4</v>
      </c>
    </row>
    <row r="121" customFormat="false" ht="15" hidden="false" customHeight="false" outlineLevel="0" collapsed="false">
      <c r="A121" s="62" t="n">
        <v>45774</v>
      </c>
      <c r="B121" s="63" t="n">
        <v>0</v>
      </c>
      <c r="C121" s="63" t="n">
        <v>0</v>
      </c>
      <c r="D121" s="63" t="n">
        <v>1728</v>
      </c>
      <c r="E121" s="63" t="n">
        <v>0</v>
      </c>
      <c r="F121" s="43" t="n">
        <f aca="false">SUM(B121:E121)</f>
        <v>1728</v>
      </c>
      <c r="G121" s="60" t="n">
        <f aca="false">DATE(YEAR(A121),MONTH(A121),1)</f>
        <v>45748</v>
      </c>
      <c r="H121" s="63" t="n">
        <v>0</v>
      </c>
      <c r="I121" s="63" t="n">
        <v>0</v>
      </c>
      <c r="J121" s="43" t="n">
        <f aca="false">H121+I121</f>
        <v>0</v>
      </c>
    </row>
    <row r="122" customFormat="false" ht="15" hidden="false" customHeight="false" outlineLevel="0" collapsed="false">
      <c r="A122" s="62" t="n">
        <v>45775</v>
      </c>
      <c r="B122" s="63" t="n">
        <v>0</v>
      </c>
      <c r="C122" s="63" t="n">
        <v>0</v>
      </c>
      <c r="D122" s="63" t="n">
        <v>1988</v>
      </c>
      <c r="E122" s="63" t="n">
        <v>0</v>
      </c>
      <c r="F122" s="43" t="n">
        <f aca="false">SUM(B122:E122)</f>
        <v>1988</v>
      </c>
      <c r="G122" s="60" t="n">
        <f aca="false">DATE(YEAR(A122),MONTH(A122),1)</f>
        <v>45748</v>
      </c>
      <c r="H122" s="63" t="n">
        <v>2</v>
      </c>
      <c r="I122" s="63" t="n">
        <v>0</v>
      </c>
      <c r="J122" s="43" t="n">
        <f aca="false">H122+I122</f>
        <v>2</v>
      </c>
    </row>
    <row r="123" customFormat="false" ht="15" hidden="false" customHeight="false" outlineLevel="0" collapsed="false">
      <c r="A123" s="62" t="n">
        <v>45776</v>
      </c>
      <c r="B123" s="63" t="n">
        <v>0</v>
      </c>
      <c r="C123" s="63" t="n">
        <v>0</v>
      </c>
      <c r="D123" s="63" t="n">
        <v>437</v>
      </c>
      <c r="E123" s="63" t="n">
        <v>0</v>
      </c>
      <c r="F123" s="43" t="n">
        <f aca="false">SUM(B123:E123)</f>
        <v>437</v>
      </c>
      <c r="G123" s="60" t="n">
        <f aca="false">DATE(YEAR(A123),MONTH(A123),1)</f>
        <v>45748</v>
      </c>
      <c r="H123" s="63" t="n">
        <v>7</v>
      </c>
      <c r="I123" s="63" t="n">
        <v>0</v>
      </c>
      <c r="J123" s="43" t="n">
        <f aca="false">H123+I123</f>
        <v>7</v>
      </c>
    </row>
    <row r="124" customFormat="false" ht="15" hidden="false" customHeight="false" outlineLevel="0" collapsed="false">
      <c r="A124" s="62" t="n">
        <v>45777</v>
      </c>
      <c r="B124" s="63" t="n">
        <v>0</v>
      </c>
      <c r="C124" s="63" t="n">
        <v>0</v>
      </c>
      <c r="D124" s="63" t="n">
        <v>8</v>
      </c>
      <c r="E124" s="63" t="n">
        <v>0</v>
      </c>
      <c r="F124" s="43" t="n">
        <f aca="false">SUM(B124:E124)</f>
        <v>8</v>
      </c>
      <c r="G124" s="60" t="n">
        <f aca="false">DATE(YEAR(A124),MONTH(A124),1)</f>
        <v>45748</v>
      </c>
      <c r="H124" s="63" t="n">
        <v>6</v>
      </c>
      <c r="I124" s="63" t="n">
        <v>0</v>
      </c>
      <c r="J124" s="43" t="n">
        <f aca="false">H124+I124</f>
        <v>6</v>
      </c>
    </row>
    <row r="125" customFormat="false" ht="15" hidden="false" customHeight="false" outlineLevel="0" collapsed="false">
      <c r="A125" s="62" t="n">
        <v>45778</v>
      </c>
      <c r="B125" s="63" t="n">
        <v>0</v>
      </c>
      <c r="C125" s="63" t="n">
        <v>0</v>
      </c>
      <c r="D125" s="63" t="n">
        <v>11</v>
      </c>
      <c r="E125" s="63" t="n">
        <v>0</v>
      </c>
      <c r="F125" s="43" t="n">
        <f aca="false">SUM(B125:E125)</f>
        <v>11</v>
      </c>
      <c r="G125" s="60" t="n">
        <f aca="false">DATE(YEAR(A125),MONTH(A125),1)</f>
        <v>45778</v>
      </c>
      <c r="H125" s="63" t="n">
        <v>5</v>
      </c>
      <c r="I125" s="63" t="n">
        <v>0</v>
      </c>
      <c r="J125" s="43" t="n">
        <f aca="false">H125+I125</f>
        <v>5</v>
      </c>
    </row>
    <row r="126" customFormat="false" ht="15" hidden="false" customHeight="false" outlineLevel="0" collapsed="false">
      <c r="A126" s="62" t="n">
        <v>45779</v>
      </c>
      <c r="B126" s="63" t="n">
        <v>0</v>
      </c>
      <c r="C126" s="63" t="n">
        <v>0</v>
      </c>
      <c r="D126" s="63" t="n">
        <v>7</v>
      </c>
      <c r="E126" s="63" t="n">
        <v>0</v>
      </c>
      <c r="F126" s="43" t="n">
        <f aca="false">SUM(B126:E126)</f>
        <v>7</v>
      </c>
      <c r="G126" s="60" t="n">
        <f aca="false">DATE(YEAR(A126),MONTH(A126),1)</f>
        <v>45778</v>
      </c>
      <c r="H126" s="63" t="n">
        <v>3</v>
      </c>
      <c r="I126" s="63" t="n">
        <v>0</v>
      </c>
      <c r="J126" s="43" t="n">
        <f aca="false">H126+I126</f>
        <v>3</v>
      </c>
    </row>
    <row r="127" customFormat="false" ht="15" hidden="false" customHeight="false" outlineLevel="0" collapsed="false">
      <c r="A127" s="62" t="n">
        <v>45780</v>
      </c>
      <c r="B127" s="63" t="n">
        <v>0</v>
      </c>
      <c r="C127" s="63" t="n">
        <v>0</v>
      </c>
      <c r="D127" s="63" t="n">
        <v>7</v>
      </c>
      <c r="E127" s="63" t="n">
        <v>0</v>
      </c>
      <c r="F127" s="43" t="n">
        <f aca="false">SUM(B127:E127)</f>
        <v>7</v>
      </c>
      <c r="G127" s="60" t="n">
        <f aca="false">DATE(YEAR(A127),MONTH(A127),1)</f>
        <v>45778</v>
      </c>
      <c r="H127" s="63" t="n">
        <v>1</v>
      </c>
      <c r="I127" s="63" t="n">
        <v>0</v>
      </c>
      <c r="J127" s="43" t="n">
        <f aca="false">H127+I127</f>
        <v>1</v>
      </c>
    </row>
    <row r="128" customFormat="false" ht="15" hidden="false" customHeight="false" outlineLevel="0" collapsed="false">
      <c r="A128" s="62" t="n">
        <v>45781</v>
      </c>
      <c r="B128" s="63" t="n">
        <v>0</v>
      </c>
      <c r="C128" s="63" t="n">
        <v>0</v>
      </c>
      <c r="D128" s="63" t="n">
        <v>17672</v>
      </c>
      <c r="E128" s="63" t="n">
        <v>0</v>
      </c>
      <c r="F128" s="43" t="n">
        <f aca="false">SUM(B128:E128)</f>
        <v>17672</v>
      </c>
      <c r="G128" s="60" t="n">
        <f aca="false">DATE(YEAR(A128),MONTH(A128),1)</f>
        <v>45778</v>
      </c>
      <c r="H128" s="63" t="n">
        <v>1</v>
      </c>
      <c r="I128" s="63" t="n">
        <v>0</v>
      </c>
      <c r="J128" s="43" t="n">
        <f aca="false">H128+I128</f>
        <v>1</v>
      </c>
    </row>
    <row r="129" customFormat="false" ht="15" hidden="false" customHeight="false" outlineLevel="0" collapsed="false">
      <c r="A129" s="62" t="n">
        <v>45782</v>
      </c>
      <c r="B129" s="63" t="n">
        <v>0</v>
      </c>
      <c r="C129" s="63" t="n">
        <v>0</v>
      </c>
      <c r="D129" s="63" t="n">
        <v>350</v>
      </c>
      <c r="E129" s="63" t="n">
        <v>0</v>
      </c>
      <c r="F129" s="43" t="n">
        <f aca="false">SUM(B129:E129)</f>
        <v>350</v>
      </c>
      <c r="G129" s="60" t="n">
        <f aca="false">DATE(YEAR(A129),MONTH(A129),1)</f>
        <v>45778</v>
      </c>
      <c r="H129" s="63" t="n">
        <v>3</v>
      </c>
      <c r="I129" s="63" t="n">
        <v>0</v>
      </c>
      <c r="J129" s="43" t="n">
        <f aca="false">H129+I129</f>
        <v>3</v>
      </c>
    </row>
    <row r="130" customFormat="false" ht="15" hidden="false" customHeight="false" outlineLevel="0" collapsed="false">
      <c r="A130" s="62" t="n">
        <v>45783</v>
      </c>
      <c r="B130" s="63" t="n">
        <v>0</v>
      </c>
      <c r="C130" s="63" t="n">
        <v>0</v>
      </c>
      <c r="D130" s="63" t="n">
        <v>27</v>
      </c>
      <c r="E130" s="63" t="n">
        <v>0</v>
      </c>
      <c r="F130" s="43" t="n">
        <f aca="false">SUM(B130:E130)</f>
        <v>27</v>
      </c>
      <c r="G130" s="60" t="n">
        <f aca="false">DATE(YEAR(A130),MONTH(A130),1)</f>
        <v>45778</v>
      </c>
      <c r="H130" s="63" t="n">
        <v>4</v>
      </c>
      <c r="I130" s="63" t="n">
        <v>0</v>
      </c>
      <c r="J130" s="43" t="n">
        <f aca="false">H130+I130</f>
        <v>4</v>
      </c>
    </row>
    <row r="131" customFormat="false" ht="15" hidden="false" customHeight="false" outlineLevel="0" collapsed="false">
      <c r="A131" s="62" t="n">
        <v>45784</v>
      </c>
      <c r="B131" s="63" t="n">
        <v>0</v>
      </c>
      <c r="C131" s="63" t="n">
        <v>0</v>
      </c>
      <c r="D131" s="63" t="n">
        <v>6249</v>
      </c>
      <c r="E131" s="63" t="n">
        <v>0</v>
      </c>
      <c r="F131" s="43" t="n">
        <f aca="false">SUM(B131:E131)</f>
        <v>6249</v>
      </c>
      <c r="G131" s="60" t="n">
        <f aca="false">DATE(YEAR(A131),MONTH(A131),1)</f>
        <v>45778</v>
      </c>
      <c r="H131" s="63" t="n">
        <v>2</v>
      </c>
      <c r="I131" s="63" t="n">
        <v>0</v>
      </c>
      <c r="J131" s="43" t="n">
        <f aca="false">H131+I131</f>
        <v>2</v>
      </c>
    </row>
    <row r="132" customFormat="false" ht="15" hidden="false" customHeight="false" outlineLevel="0" collapsed="false">
      <c r="A132" s="62" t="n">
        <v>45785</v>
      </c>
      <c r="B132" s="63" t="n">
        <v>0</v>
      </c>
      <c r="C132" s="63" t="n">
        <v>0</v>
      </c>
      <c r="D132" s="63" t="n">
        <v>2256</v>
      </c>
      <c r="E132" s="63" t="n">
        <v>0</v>
      </c>
      <c r="F132" s="43" t="n">
        <f aca="false">SUM(B132:E132)</f>
        <v>2256</v>
      </c>
      <c r="G132" s="60" t="n">
        <f aca="false">DATE(YEAR(A132),MONTH(A132),1)</f>
        <v>45778</v>
      </c>
      <c r="H132" s="63" t="n">
        <v>13</v>
      </c>
      <c r="I132" s="63" t="n">
        <v>0</v>
      </c>
      <c r="J132" s="43" t="n">
        <f aca="false">H132+I132</f>
        <v>13</v>
      </c>
    </row>
    <row r="133" customFormat="false" ht="15" hidden="false" customHeight="false" outlineLevel="0" collapsed="false">
      <c r="A133" s="62" t="n">
        <v>45786</v>
      </c>
      <c r="B133" s="63" t="n">
        <v>0</v>
      </c>
      <c r="C133" s="63" t="n">
        <v>0</v>
      </c>
      <c r="D133" s="63" t="n">
        <v>334</v>
      </c>
      <c r="E133" s="63" t="n">
        <v>0</v>
      </c>
      <c r="F133" s="43" t="n">
        <f aca="false">SUM(B133:E133)</f>
        <v>334</v>
      </c>
      <c r="G133" s="60" t="n">
        <f aca="false">DATE(YEAR(A133),MONTH(A133),1)</f>
        <v>45778</v>
      </c>
      <c r="H133" s="63" t="n">
        <v>37</v>
      </c>
      <c r="I133" s="63" t="n">
        <v>0</v>
      </c>
      <c r="J133" s="43" t="n">
        <f aca="false">H133+I133</f>
        <v>37</v>
      </c>
    </row>
    <row r="134" customFormat="false" ht="15" hidden="false" customHeight="false" outlineLevel="0" collapsed="false">
      <c r="A134" s="62" t="n">
        <v>45787</v>
      </c>
      <c r="B134" s="63" t="n">
        <v>0</v>
      </c>
      <c r="C134" s="63" t="n">
        <v>0</v>
      </c>
      <c r="D134" s="63" t="n">
        <v>9</v>
      </c>
      <c r="E134" s="63" t="n">
        <v>0</v>
      </c>
      <c r="F134" s="43" t="n">
        <f aca="false">SUM(B134:E134)</f>
        <v>9</v>
      </c>
      <c r="G134" s="60" t="n">
        <f aca="false">DATE(YEAR(A134),MONTH(A134),1)</f>
        <v>45778</v>
      </c>
      <c r="H134" s="63" t="n">
        <v>6</v>
      </c>
      <c r="I134" s="63" t="n">
        <v>0</v>
      </c>
      <c r="J134" s="43" t="n">
        <f aca="false">H134+I134</f>
        <v>6</v>
      </c>
    </row>
    <row r="135" customFormat="false" ht="15" hidden="false" customHeight="false" outlineLevel="0" collapsed="false">
      <c r="A135" s="62" t="n">
        <v>45788</v>
      </c>
      <c r="B135" s="63" t="n">
        <v>0</v>
      </c>
      <c r="C135" s="63" t="n">
        <v>0</v>
      </c>
      <c r="D135" s="63" t="n">
        <v>17336</v>
      </c>
      <c r="E135" s="63" t="n">
        <v>0</v>
      </c>
      <c r="F135" s="43" t="n">
        <f aca="false">SUM(B135:E135)</f>
        <v>17336</v>
      </c>
      <c r="G135" s="60" t="n">
        <f aca="false">DATE(YEAR(A135),MONTH(A135),1)</f>
        <v>45778</v>
      </c>
      <c r="H135" s="63" t="n">
        <v>3</v>
      </c>
      <c r="I135" s="63" t="n">
        <v>0</v>
      </c>
      <c r="J135" s="43" t="n">
        <f aca="false">H135+I135</f>
        <v>3</v>
      </c>
    </row>
    <row r="136" customFormat="false" ht="15" hidden="false" customHeight="false" outlineLevel="0" collapsed="false">
      <c r="A136" s="62" t="n">
        <v>45789</v>
      </c>
      <c r="B136" s="63" t="n">
        <v>0</v>
      </c>
      <c r="C136" s="63" t="n">
        <v>0</v>
      </c>
      <c r="D136" s="63" t="n">
        <v>5403</v>
      </c>
      <c r="E136" s="63" t="n">
        <v>0</v>
      </c>
      <c r="F136" s="43" t="n">
        <f aca="false">SUM(B136:E136)</f>
        <v>5403</v>
      </c>
      <c r="G136" s="60" t="n">
        <f aca="false">DATE(YEAR(A136),MONTH(A136),1)</f>
        <v>45778</v>
      </c>
      <c r="H136" s="63" t="n">
        <v>8</v>
      </c>
      <c r="I136" s="63" t="n">
        <v>0</v>
      </c>
      <c r="J136" s="43" t="n">
        <f aca="false">H136+I136</f>
        <v>8</v>
      </c>
    </row>
    <row r="137" customFormat="false" ht="15" hidden="false" customHeight="false" outlineLevel="0" collapsed="false">
      <c r="A137" s="62" t="n">
        <v>45790</v>
      </c>
      <c r="B137" s="63" t="n">
        <v>0</v>
      </c>
      <c r="C137" s="63" t="n">
        <v>0</v>
      </c>
      <c r="D137" s="63" t="n">
        <v>3748</v>
      </c>
      <c r="E137" s="63" t="n">
        <v>0</v>
      </c>
      <c r="F137" s="43" t="n">
        <f aca="false">SUM(B137:E137)</f>
        <v>3748</v>
      </c>
      <c r="G137" s="60" t="n">
        <f aca="false">DATE(YEAR(A137),MONTH(A137),1)</f>
        <v>45778</v>
      </c>
      <c r="H137" s="63" t="n">
        <v>13</v>
      </c>
      <c r="I137" s="63" t="n">
        <v>0</v>
      </c>
      <c r="J137" s="43" t="n">
        <f aca="false">H137+I137</f>
        <v>13</v>
      </c>
    </row>
    <row r="138" customFormat="false" ht="15" hidden="false" customHeight="false" outlineLevel="0" collapsed="false">
      <c r="A138" s="62" t="n">
        <v>45791</v>
      </c>
      <c r="B138" s="63" t="n">
        <v>0</v>
      </c>
      <c r="C138" s="63" t="n">
        <v>0</v>
      </c>
      <c r="D138" s="63" t="n">
        <v>2370</v>
      </c>
      <c r="E138" s="63" t="n">
        <v>0</v>
      </c>
      <c r="F138" s="43" t="n">
        <f aca="false">SUM(B138:E138)</f>
        <v>2370</v>
      </c>
      <c r="G138" s="60" t="n">
        <f aca="false">DATE(YEAR(A138),MONTH(A138),1)</f>
        <v>45778</v>
      </c>
      <c r="H138" s="63" t="n">
        <v>6</v>
      </c>
      <c r="I138" s="63" t="n">
        <v>0</v>
      </c>
      <c r="J138" s="43" t="n">
        <f aca="false">H138+I138</f>
        <v>6</v>
      </c>
    </row>
    <row r="139" customFormat="false" ht="15" hidden="false" customHeight="false" outlineLevel="0" collapsed="false">
      <c r="A139" s="62" t="n">
        <v>45792</v>
      </c>
      <c r="B139" s="63" t="n">
        <v>0</v>
      </c>
      <c r="C139" s="63" t="n">
        <v>0</v>
      </c>
      <c r="D139" s="63" t="n">
        <v>1141</v>
      </c>
      <c r="E139" s="63" t="n">
        <v>0</v>
      </c>
      <c r="F139" s="43" t="n">
        <f aca="false">SUM(B139:E139)</f>
        <v>1141</v>
      </c>
      <c r="G139" s="60" t="n">
        <f aca="false">DATE(YEAR(A139),MONTH(A139),1)</f>
        <v>45778</v>
      </c>
      <c r="H139" s="63" t="n">
        <v>6</v>
      </c>
      <c r="I139" s="63" t="n">
        <v>0</v>
      </c>
      <c r="J139" s="43" t="n">
        <f aca="false">H139+I139</f>
        <v>6</v>
      </c>
    </row>
    <row r="140" customFormat="false" ht="15" hidden="false" customHeight="false" outlineLevel="0" collapsed="false">
      <c r="A140" s="62" t="n">
        <v>45793</v>
      </c>
      <c r="B140" s="63" t="n">
        <v>0</v>
      </c>
      <c r="C140" s="63" t="n">
        <v>0</v>
      </c>
      <c r="D140" s="63" t="n">
        <v>1465</v>
      </c>
      <c r="E140" s="63" t="n">
        <v>0</v>
      </c>
      <c r="F140" s="43" t="n">
        <f aca="false">SUM(B140:E140)</f>
        <v>1465</v>
      </c>
      <c r="G140" s="60" t="n">
        <f aca="false">DATE(YEAR(A140),MONTH(A140),1)</f>
        <v>45778</v>
      </c>
      <c r="H140" s="63" t="n">
        <v>7</v>
      </c>
      <c r="I140" s="63" t="n">
        <v>0</v>
      </c>
      <c r="J140" s="43" t="n">
        <f aca="false">H140+I140</f>
        <v>7</v>
      </c>
    </row>
    <row r="141" customFormat="false" ht="15" hidden="false" customHeight="false" outlineLevel="0" collapsed="false">
      <c r="A141" s="62" t="n">
        <v>45794</v>
      </c>
      <c r="B141" s="63" t="n">
        <v>0</v>
      </c>
      <c r="C141" s="63" t="n">
        <v>0</v>
      </c>
      <c r="D141" s="63" t="n">
        <v>12</v>
      </c>
      <c r="E141" s="63" t="n">
        <v>0</v>
      </c>
      <c r="F141" s="43" t="n">
        <f aca="false">SUM(B141:E141)</f>
        <v>12</v>
      </c>
      <c r="G141" s="60" t="n">
        <f aca="false">DATE(YEAR(A141),MONTH(A141),1)</f>
        <v>45778</v>
      </c>
      <c r="H141" s="63" t="n">
        <v>3</v>
      </c>
      <c r="I141" s="63" t="n">
        <v>0</v>
      </c>
      <c r="J141" s="43" t="n">
        <f aca="false">H141+I141</f>
        <v>3</v>
      </c>
    </row>
    <row r="142" customFormat="false" ht="15" hidden="false" customHeight="false" outlineLevel="0" collapsed="false">
      <c r="A142" s="62" t="n">
        <v>45795</v>
      </c>
      <c r="B142" s="63" t="n">
        <v>0</v>
      </c>
      <c r="C142" s="63" t="n">
        <v>0</v>
      </c>
      <c r="D142" s="63" t="n">
        <v>10442</v>
      </c>
      <c r="E142" s="63" t="n">
        <v>0</v>
      </c>
      <c r="F142" s="43" t="n">
        <f aca="false">SUM(B142:E142)</f>
        <v>10442</v>
      </c>
      <c r="G142" s="60" t="n">
        <f aca="false">DATE(YEAR(A142),MONTH(A142),1)</f>
        <v>45778</v>
      </c>
      <c r="H142" s="63" t="n">
        <v>0</v>
      </c>
      <c r="I142" s="63" t="n">
        <v>0</v>
      </c>
      <c r="J142" s="43" t="n">
        <f aca="false">H142+I142</f>
        <v>0</v>
      </c>
    </row>
    <row r="143" customFormat="false" ht="15" hidden="false" customHeight="false" outlineLevel="0" collapsed="false">
      <c r="A143" s="62" t="n">
        <v>45796</v>
      </c>
      <c r="B143" s="63" t="n">
        <v>0</v>
      </c>
      <c r="C143" s="63" t="n">
        <v>0</v>
      </c>
      <c r="D143" s="63" t="n">
        <v>4046</v>
      </c>
      <c r="E143" s="63" t="n">
        <v>0</v>
      </c>
      <c r="F143" s="43" t="n">
        <f aca="false">SUM(B143:E143)</f>
        <v>4046</v>
      </c>
      <c r="G143" s="60" t="n">
        <f aca="false">DATE(YEAR(A143),MONTH(A143),1)</f>
        <v>45778</v>
      </c>
      <c r="H143" s="63" t="n">
        <v>4</v>
      </c>
      <c r="I143" s="63" t="n">
        <v>0</v>
      </c>
      <c r="J143" s="43" t="n">
        <f aca="false">H143+I143</f>
        <v>4</v>
      </c>
    </row>
    <row r="144" customFormat="false" ht="15" hidden="false" customHeight="false" outlineLevel="0" collapsed="false">
      <c r="A144" s="62" t="n">
        <v>45797</v>
      </c>
      <c r="B144" s="63" t="n">
        <v>0</v>
      </c>
      <c r="C144" s="63" t="n">
        <v>0</v>
      </c>
      <c r="D144" s="63" t="n">
        <v>6590</v>
      </c>
      <c r="E144" s="63" t="n">
        <v>0</v>
      </c>
      <c r="F144" s="43" t="n">
        <f aca="false">SUM(B144:E144)</f>
        <v>6590</v>
      </c>
      <c r="G144" s="60" t="n">
        <f aca="false">DATE(YEAR(A144),MONTH(A144),1)</f>
        <v>45778</v>
      </c>
      <c r="H144" s="63" t="n">
        <v>21</v>
      </c>
      <c r="I144" s="63" t="n">
        <v>0</v>
      </c>
      <c r="J144" s="43" t="n">
        <f aca="false">H144+I144</f>
        <v>21</v>
      </c>
    </row>
    <row r="145" customFormat="false" ht="15" hidden="false" customHeight="false" outlineLevel="0" collapsed="false">
      <c r="A145" s="62" t="n">
        <v>45798</v>
      </c>
      <c r="B145" s="63" t="n">
        <v>0</v>
      </c>
      <c r="C145" s="63" t="n">
        <v>0</v>
      </c>
      <c r="D145" s="63" t="n">
        <v>2086</v>
      </c>
      <c r="E145" s="63" t="n">
        <v>0</v>
      </c>
      <c r="F145" s="43" t="n">
        <f aca="false">SUM(B145:E145)</f>
        <v>2086</v>
      </c>
      <c r="G145" s="60" t="n">
        <f aca="false">DATE(YEAR(A145),MONTH(A145),1)</f>
        <v>45778</v>
      </c>
      <c r="H145" s="63" t="n">
        <v>11</v>
      </c>
      <c r="I145" s="63" t="n">
        <v>0</v>
      </c>
      <c r="J145" s="43" t="n">
        <f aca="false">H145+I145</f>
        <v>11</v>
      </c>
    </row>
    <row r="146" customFormat="false" ht="15" hidden="false" customHeight="false" outlineLevel="0" collapsed="false">
      <c r="A146" s="62" t="n">
        <v>45799</v>
      </c>
      <c r="B146" s="63" t="n">
        <v>0</v>
      </c>
      <c r="C146" s="63" t="n">
        <v>0</v>
      </c>
      <c r="D146" s="63" t="n">
        <v>3733</v>
      </c>
      <c r="E146" s="63" t="n">
        <v>0</v>
      </c>
      <c r="F146" s="43" t="n">
        <f aca="false">SUM(B146:E146)</f>
        <v>3733</v>
      </c>
      <c r="G146" s="60" t="n">
        <f aca="false">DATE(YEAR(A146),MONTH(A146),1)</f>
        <v>45778</v>
      </c>
      <c r="H146" s="63" t="n">
        <v>28</v>
      </c>
      <c r="I146" s="63" t="n">
        <v>0</v>
      </c>
      <c r="J146" s="43" t="n">
        <f aca="false">H146+I146</f>
        <v>28</v>
      </c>
    </row>
    <row r="147" customFormat="false" ht="15" hidden="false" customHeight="false" outlineLevel="0" collapsed="false">
      <c r="A147" s="62" t="n">
        <v>45800</v>
      </c>
      <c r="B147" s="63" t="n">
        <v>0</v>
      </c>
      <c r="C147" s="63" t="n">
        <v>0</v>
      </c>
      <c r="D147" s="63" t="n">
        <v>26</v>
      </c>
      <c r="E147" s="63" t="n">
        <v>0</v>
      </c>
      <c r="F147" s="43" t="n">
        <f aca="false">SUM(B147:E147)</f>
        <v>26</v>
      </c>
      <c r="G147" s="60" t="n">
        <f aca="false">DATE(YEAR(A147),MONTH(A147),1)</f>
        <v>45778</v>
      </c>
      <c r="H147" s="63" t="n">
        <v>10</v>
      </c>
      <c r="I147" s="63" t="n">
        <v>0</v>
      </c>
      <c r="J147" s="43" t="n">
        <f aca="false">H147+I147</f>
        <v>10</v>
      </c>
    </row>
    <row r="148" customFormat="false" ht="15" hidden="false" customHeight="false" outlineLevel="0" collapsed="false">
      <c r="A148" s="62" t="n">
        <v>45801</v>
      </c>
      <c r="B148" s="63" t="n">
        <v>0</v>
      </c>
      <c r="C148" s="63" t="n">
        <v>0</v>
      </c>
      <c r="D148" s="63" t="n">
        <v>10</v>
      </c>
      <c r="E148" s="63" t="n">
        <v>0</v>
      </c>
      <c r="F148" s="43" t="n">
        <f aca="false">SUM(B148:E148)</f>
        <v>10</v>
      </c>
      <c r="G148" s="60" t="n">
        <f aca="false">DATE(YEAR(A148),MONTH(A148),1)</f>
        <v>45778</v>
      </c>
      <c r="H148" s="63" t="n">
        <v>2</v>
      </c>
      <c r="I148" s="63" t="n">
        <v>0</v>
      </c>
      <c r="J148" s="43" t="n">
        <f aca="false">H148+I148</f>
        <v>2</v>
      </c>
    </row>
    <row r="149" customFormat="false" ht="15" hidden="false" customHeight="false" outlineLevel="0" collapsed="false">
      <c r="A149" s="62" t="n">
        <v>45802</v>
      </c>
      <c r="B149" s="63" t="n">
        <v>0</v>
      </c>
      <c r="C149" s="63" t="n">
        <v>0</v>
      </c>
      <c r="D149" s="63" t="n">
        <v>8050</v>
      </c>
      <c r="E149" s="63" t="n">
        <v>0</v>
      </c>
      <c r="F149" s="43" t="n">
        <f aca="false">SUM(B149:E149)</f>
        <v>8050</v>
      </c>
      <c r="G149" s="60" t="n">
        <f aca="false">DATE(YEAR(A149),MONTH(A149),1)</f>
        <v>45778</v>
      </c>
      <c r="H149" s="63" t="n">
        <v>2</v>
      </c>
      <c r="I149" s="63" t="n">
        <v>0</v>
      </c>
      <c r="J149" s="43" t="n">
        <f aca="false">H149+I149</f>
        <v>2</v>
      </c>
    </row>
    <row r="150" customFormat="false" ht="15" hidden="false" customHeight="false" outlineLevel="0" collapsed="false">
      <c r="A150" s="62" t="n">
        <v>45803</v>
      </c>
      <c r="B150" s="63" t="n">
        <v>0</v>
      </c>
      <c r="C150" s="63" t="n">
        <v>0</v>
      </c>
      <c r="D150" s="63" t="n">
        <v>401</v>
      </c>
      <c r="E150" s="63" t="n">
        <v>0</v>
      </c>
      <c r="F150" s="43" t="n">
        <f aca="false">SUM(B150:E150)</f>
        <v>401</v>
      </c>
      <c r="G150" s="60" t="n">
        <f aca="false">DATE(YEAR(A150),MONTH(A150),1)</f>
        <v>45778</v>
      </c>
      <c r="H150" s="63" t="n">
        <v>7</v>
      </c>
      <c r="I150" s="63" t="n">
        <v>0</v>
      </c>
      <c r="J150" s="43" t="n">
        <f aca="false">H150+I150</f>
        <v>7</v>
      </c>
    </row>
    <row r="151" customFormat="false" ht="15" hidden="false" customHeight="false" outlineLevel="0" collapsed="false">
      <c r="A151" s="62" t="n">
        <v>45804</v>
      </c>
      <c r="B151" s="63" t="n">
        <v>0</v>
      </c>
      <c r="C151" s="63" t="n">
        <v>0</v>
      </c>
      <c r="D151" s="63" t="n">
        <v>873</v>
      </c>
      <c r="E151" s="63" t="n">
        <v>0</v>
      </c>
      <c r="F151" s="43" t="n">
        <f aca="false">SUM(B151:E151)</f>
        <v>873</v>
      </c>
      <c r="G151" s="60" t="n">
        <f aca="false">DATE(YEAR(A151),MONTH(A151),1)</f>
        <v>45778</v>
      </c>
      <c r="H151" s="63" t="n">
        <v>7</v>
      </c>
      <c r="I151" s="63" t="n">
        <v>0</v>
      </c>
      <c r="J151" s="43" t="n">
        <f aca="false">H151+I151</f>
        <v>7</v>
      </c>
    </row>
    <row r="152" customFormat="false" ht="15" hidden="false" customHeight="false" outlineLevel="0" collapsed="false">
      <c r="A152" s="62" t="n">
        <v>45805</v>
      </c>
      <c r="B152" s="63" t="n">
        <v>0</v>
      </c>
      <c r="C152" s="63" t="n">
        <v>0</v>
      </c>
      <c r="D152" s="63" t="n">
        <v>15782</v>
      </c>
      <c r="E152" s="63" t="n">
        <v>0</v>
      </c>
      <c r="F152" s="43" t="n">
        <f aca="false">SUM(B152:E152)</f>
        <v>15782</v>
      </c>
      <c r="G152" s="60" t="n">
        <f aca="false">DATE(YEAR(A152),MONTH(A152),1)</f>
        <v>45778</v>
      </c>
      <c r="H152" s="63" t="n">
        <v>9</v>
      </c>
      <c r="I152" s="63" t="n">
        <v>0</v>
      </c>
      <c r="J152" s="43" t="n">
        <f aca="false">H152+I152</f>
        <v>9</v>
      </c>
    </row>
    <row r="153" customFormat="false" ht="15" hidden="false" customHeight="false" outlineLevel="0" collapsed="false">
      <c r="A153" s="62" t="n">
        <v>45806</v>
      </c>
      <c r="B153" s="63" t="n">
        <v>0</v>
      </c>
      <c r="C153" s="63" t="n">
        <v>0</v>
      </c>
      <c r="D153" s="63" t="n">
        <v>4926</v>
      </c>
      <c r="E153" s="63" t="n">
        <v>0</v>
      </c>
      <c r="F153" s="43" t="n">
        <f aca="false">SUM(B153:E153)</f>
        <v>4926</v>
      </c>
      <c r="G153" s="60" t="n">
        <f aca="false">DATE(YEAR(A153),MONTH(A153),1)</f>
        <v>45778</v>
      </c>
      <c r="H153" s="63" t="n">
        <v>22</v>
      </c>
      <c r="I153" s="63" t="n">
        <v>0</v>
      </c>
      <c r="J153" s="43" t="n">
        <f aca="false">H153+I153</f>
        <v>22</v>
      </c>
    </row>
    <row r="154" customFormat="false" ht="15" hidden="false" customHeight="false" outlineLevel="0" collapsed="false">
      <c r="A154" s="62" t="n">
        <v>45807</v>
      </c>
      <c r="B154" s="63" t="n">
        <v>0</v>
      </c>
      <c r="C154" s="63" t="n">
        <v>0</v>
      </c>
      <c r="D154" s="63" t="n">
        <v>1229</v>
      </c>
      <c r="E154" s="63" t="n">
        <v>0</v>
      </c>
      <c r="F154" s="43" t="n">
        <f aca="false">SUM(B154:E154)</f>
        <v>1229</v>
      </c>
      <c r="G154" s="60" t="n">
        <f aca="false">DATE(YEAR(A154),MONTH(A154),1)</f>
        <v>45778</v>
      </c>
      <c r="H154" s="63" t="n">
        <v>21</v>
      </c>
      <c r="I154" s="63" t="n">
        <v>0</v>
      </c>
      <c r="J154" s="43" t="n">
        <f aca="false">H154+I154</f>
        <v>21</v>
      </c>
    </row>
    <row r="155" customFormat="false" ht="15" hidden="false" customHeight="false" outlineLevel="0" collapsed="false">
      <c r="A155" s="62" t="n">
        <v>45808</v>
      </c>
      <c r="B155" s="63" t="n">
        <v>0</v>
      </c>
      <c r="C155" s="63" t="n">
        <v>0</v>
      </c>
      <c r="D155" s="63" t="n">
        <v>17</v>
      </c>
      <c r="E155" s="63" t="n">
        <v>0</v>
      </c>
      <c r="F155" s="43" t="n">
        <f aca="false">SUM(B155:E155)</f>
        <v>17</v>
      </c>
      <c r="G155" s="60" t="n">
        <f aca="false">DATE(YEAR(A155),MONTH(A155),1)</f>
        <v>45778</v>
      </c>
      <c r="H155" s="63" t="n">
        <v>3</v>
      </c>
      <c r="I155" s="63" t="n">
        <v>0</v>
      </c>
      <c r="J155" s="43" t="n">
        <f aca="false">H155+I155</f>
        <v>3</v>
      </c>
    </row>
    <row r="156" customFormat="false" ht="15" hidden="false" customHeight="false" outlineLevel="0" collapsed="false">
      <c r="A156" s="62" t="n">
        <v>45809</v>
      </c>
      <c r="B156" s="63" t="n">
        <v>0</v>
      </c>
      <c r="C156" s="63" t="n">
        <v>0</v>
      </c>
      <c r="D156" s="63" t="n">
        <v>4</v>
      </c>
      <c r="E156" s="63" t="n">
        <v>0</v>
      </c>
      <c r="F156" s="43" t="n">
        <f aca="false">SUM(B156:E156)</f>
        <v>4</v>
      </c>
      <c r="G156" s="60" t="n">
        <f aca="false">DATE(YEAR(A156),MONTH(A156),1)</f>
        <v>45809</v>
      </c>
      <c r="H156" s="63" t="n">
        <v>2</v>
      </c>
      <c r="I156" s="63" t="n">
        <v>0</v>
      </c>
      <c r="J156" s="43" t="n">
        <f aca="false">H156+I156</f>
        <v>2</v>
      </c>
    </row>
    <row r="157" customFormat="false" ht="15" hidden="false" customHeight="false" outlineLevel="0" collapsed="false">
      <c r="A157" s="62" t="n">
        <v>45810</v>
      </c>
      <c r="B157" s="63" t="n">
        <v>0</v>
      </c>
      <c r="C157" s="63" t="n">
        <v>0</v>
      </c>
      <c r="D157" s="63" t="n">
        <v>12</v>
      </c>
      <c r="E157" s="63" t="n">
        <v>0</v>
      </c>
      <c r="F157" s="43" t="n">
        <f aca="false">SUM(B157:E157)</f>
        <v>12</v>
      </c>
      <c r="G157" s="60" t="n">
        <f aca="false">DATE(YEAR(A157),MONTH(A157),1)</f>
        <v>45809</v>
      </c>
      <c r="H157" s="63" t="n">
        <v>11</v>
      </c>
      <c r="I157" s="63" t="n">
        <v>0</v>
      </c>
      <c r="J157" s="43" t="n">
        <f aca="false">H157+I157</f>
        <v>11</v>
      </c>
    </row>
    <row r="158" customFormat="false" ht="15" hidden="false" customHeight="false" outlineLevel="0" collapsed="false">
      <c r="A158" s="62" t="n">
        <v>45811</v>
      </c>
      <c r="B158" s="63" t="n">
        <v>0</v>
      </c>
      <c r="C158" s="63" t="n">
        <v>0</v>
      </c>
      <c r="D158" s="63" t="n">
        <v>8572</v>
      </c>
      <c r="E158" s="63" t="n">
        <v>0</v>
      </c>
      <c r="F158" s="43" t="n">
        <f aca="false">SUM(B158:E158)</f>
        <v>8572</v>
      </c>
      <c r="G158" s="60" t="n">
        <f aca="false">DATE(YEAR(A158),MONTH(A158),1)</f>
        <v>45809</v>
      </c>
      <c r="H158" s="63" t="n">
        <v>6</v>
      </c>
      <c r="I158" s="63" t="n">
        <v>0</v>
      </c>
      <c r="J158" s="43" t="n">
        <f aca="false">H158+I158</f>
        <v>6</v>
      </c>
    </row>
    <row r="159" customFormat="false" ht="15" hidden="false" customHeight="false" outlineLevel="0" collapsed="false">
      <c r="A159" s="62" t="n">
        <v>45812</v>
      </c>
      <c r="B159" s="63" t="n">
        <v>0</v>
      </c>
      <c r="C159" s="63" t="n">
        <v>0</v>
      </c>
      <c r="D159" s="63" t="n">
        <v>1009</v>
      </c>
      <c r="E159" s="63" t="n">
        <v>0</v>
      </c>
      <c r="F159" s="43" t="n">
        <f aca="false">SUM(B159:E159)</f>
        <v>1009</v>
      </c>
      <c r="G159" s="60" t="n">
        <f aca="false">DATE(YEAR(A159),MONTH(A159),1)</f>
        <v>45809</v>
      </c>
      <c r="H159" s="63" t="n">
        <v>30</v>
      </c>
      <c r="I159" s="63" t="n">
        <v>0</v>
      </c>
      <c r="J159" s="43" t="n">
        <f aca="false">H159+I159</f>
        <v>30</v>
      </c>
    </row>
    <row r="160" customFormat="false" ht="15" hidden="false" customHeight="false" outlineLevel="0" collapsed="false">
      <c r="A160" s="62" t="n">
        <v>45813</v>
      </c>
      <c r="B160" s="63" t="n">
        <v>0</v>
      </c>
      <c r="C160" s="63" t="n">
        <v>0</v>
      </c>
      <c r="D160" s="63" t="n">
        <v>3074</v>
      </c>
      <c r="E160" s="63" t="n">
        <v>0</v>
      </c>
      <c r="F160" s="43" t="n">
        <f aca="false">SUM(B160:E160)</f>
        <v>3074</v>
      </c>
      <c r="G160" s="60" t="n">
        <f aca="false">DATE(YEAR(A160),MONTH(A160),1)</f>
        <v>45809</v>
      </c>
      <c r="H160" s="63" t="n">
        <v>10</v>
      </c>
      <c r="I160" s="63" t="n">
        <v>0</v>
      </c>
      <c r="J160" s="43" t="n">
        <f aca="false">H160+I160</f>
        <v>10</v>
      </c>
    </row>
    <row r="161" customFormat="false" ht="15" hidden="false" customHeight="false" outlineLevel="0" collapsed="false">
      <c r="A161" s="62" t="n">
        <v>45814</v>
      </c>
      <c r="B161" s="63" t="n">
        <v>0</v>
      </c>
      <c r="C161" s="63" t="n">
        <v>0</v>
      </c>
      <c r="D161" s="63" t="n">
        <v>563</v>
      </c>
      <c r="E161" s="63" t="n">
        <v>0</v>
      </c>
      <c r="F161" s="43" t="n">
        <f aca="false">SUM(B161:E161)</f>
        <v>563</v>
      </c>
      <c r="G161" s="60" t="n">
        <f aca="false">DATE(YEAR(A161),MONTH(A161),1)</f>
        <v>45809</v>
      </c>
      <c r="H161" s="63" t="n">
        <v>5</v>
      </c>
      <c r="I161" s="63" t="n">
        <v>0</v>
      </c>
      <c r="J161" s="43" t="n">
        <f aca="false">H161+I161</f>
        <v>5</v>
      </c>
    </row>
    <row r="162" customFormat="false" ht="15" hidden="false" customHeight="false" outlineLevel="0" collapsed="false">
      <c r="A162" s="62" t="n">
        <v>45815</v>
      </c>
      <c r="B162" s="63" t="n">
        <v>0</v>
      </c>
      <c r="C162" s="63" t="n">
        <v>0</v>
      </c>
      <c r="D162" s="63" t="n">
        <v>12</v>
      </c>
      <c r="E162" s="63" t="n">
        <v>0</v>
      </c>
      <c r="F162" s="43" t="n">
        <f aca="false">SUM(B162:E162)</f>
        <v>12</v>
      </c>
      <c r="G162" s="60" t="n">
        <f aca="false">DATE(YEAR(A162),MONTH(A162),1)</f>
        <v>45809</v>
      </c>
      <c r="H162" s="63" t="n">
        <v>5</v>
      </c>
      <c r="I162" s="63" t="n">
        <v>0</v>
      </c>
      <c r="J162" s="43" t="n">
        <f aca="false">H162+I162</f>
        <v>5</v>
      </c>
    </row>
    <row r="163" customFormat="false" ht="15" hidden="false" customHeight="false" outlineLevel="0" collapsed="false">
      <c r="A163" s="62" t="n">
        <v>45816</v>
      </c>
      <c r="B163" s="63" t="n">
        <v>0</v>
      </c>
      <c r="C163" s="63" t="n">
        <v>0</v>
      </c>
      <c r="D163" s="63" t="n">
        <v>3</v>
      </c>
      <c r="E163" s="63" t="n">
        <v>0</v>
      </c>
      <c r="F163" s="43" t="n">
        <f aca="false">SUM(B163:E163)</f>
        <v>3</v>
      </c>
      <c r="G163" s="60" t="n">
        <f aca="false">DATE(YEAR(A163),MONTH(A163),1)</f>
        <v>45809</v>
      </c>
      <c r="H163" s="63" t="n">
        <v>2</v>
      </c>
      <c r="I163" s="63" t="n">
        <v>0</v>
      </c>
      <c r="J163" s="43" t="n">
        <f aca="false">H163+I163</f>
        <v>2</v>
      </c>
    </row>
    <row r="164" customFormat="false" ht="15" hidden="false" customHeight="false" outlineLevel="0" collapsed="false">
      <c r="A164" s="62" t="n">
        <v>45817</v>
      </c>
      <c r="B164" s="63" t="n">
        <v>0</v>
      </c>
      <c r="C164" s="63" t="n">
        <v>0</v>
      </c>
      <c r="D164" s="63" t="n">
        <v>8920</v>
      </c>
      <c r="E164" s="63" t="n">
        <v>0</v>
      </c>
      <c r="F164" s="43" t="n">
        <f aca="false">SUM(B164:E164)</f>
        <v>8920</v>
      </c>
      <c r="G164" s="60" t="n">
        <f aca="false">DATE(YEAR(A164),MONTH(A164),1)</f>
        <v>45809</v>
      </c>
      <c r="H164" s="63" t="n">
        <v>11</v>
      </c>
      <c r="I164" s="63" t="n">
        <v>0</v>
      </c>
      <c r="J164" s="43" t="n">
        <f aca="false">H164+I164</f>
        <v>11</v>
      </c>
    </row>
    <row r="165" customFormat="false" ht="15" hidden="false" customHeight="false" outlineLevel="0" collapsed="false">
      <c r="A165" s="62" t="n">
        <v>45818</v>
      </c>
      <c r="B165" s="63" t="n">
        <v>0</v>
      </c>
      <c r="C165" s="63" t="n">
        <v>0</v>
      </c>
      <c r="D165" s="63" t="n">
        <v>49</v>
      </c>
      <c r="E165" s="63" t="n">
        <v>0</v>
      </c>
      <c r="F165" s="43" t="n">
        <f aca="false">SUM(B165:E165)</f>
        <v>49</v>
      </c>
      <c r="G165" s="60" t="n">
        <f aca="false">DATE(YEAR(A165),MONTH(A165),1)</f>
        <v>45809</v>
      </c>
      <c r="H165" s="63" t="n">
        <v>7</v>
      </c>
      <c r="I165" s="63" t="n">
        <v>0</v>
      </c>
      <c r="J165" s="43" t="n">
        <f aca="false">H165+I165</f>
        <v>7</v>
      </c>
    </row>
    <row r="166" customFormat="false" ht="15" hidden="false" customHeight="false" outlineLevel="0" collapsed="false">
      <c r="A166" s="62" t="n">
        <v>45819</v>
      </c>
      <c r="B166" s="63" t="n">
        <v>0</v>
      </c>
      <c r="C166" s="63" t="n">
        <v>0</v>
      </c>
      <c r="D166" s="63" t="n">
        <v>20036</v>
      </c>
      <c r="E166" s="63" t="n">
        <v>0</v>
      </c>
      <c r="F166" s="43" t="n">
        <f aca="false">SUM(B166:E166)</f>
        <v>20036</v>
      </c>
      <c r="G166" s="60" t="n">
        <f aca="false">DATE(YEAR(A166),MONTH(A166),1)</f>
        <v>45809</v>
      </c>
      <c r="H166" s="63" t="n">
        <v>4</v>
      </c>
      <c r="I166" s="63" t="n">
        <v>0</v>
      </c>
      <c r="J166" s="43" t="n">
        <f aca="false">H166+I166</f>
        <v>4</v>
      </c>
    </row>
    <row r="167" customFormat="false" ht="15" hidden="false" customHeight="false" outlineLevel="0" collapsed="false">
      <c r="A167" s="62" t="n">
        <v>45820</v>
      </c>
      <c r="B167" s="63" t="n">
        <v>0</v>
      </c>
      <c r="C167" s="63" t="n">
        <v>0</v>
      </c>
      <c r="D167" s="63" t="n">
        <v>264</v>
      </c>
      <c r="E167" s="63" t="n">
        <v>0</v>
      </c>
      <c r="F167" s="43" t="n">
        <f aca="false">SUM(B167:E167)</f>
        <v>264</v>
      </c>
      <c r="G167" s="60" t="n">
        <f aca="false">DATE(YEAR(A167),MONTH(A167),1)</f>
        <v>45809</v>
      </c>
      <c r="H167" s="63" t="n">
        <v>58</v>
      </c>
      <c r="I167" s="63" t="n">
        <v>0</v>
      </c>
      <c r="J167" s="43" t="n">
        <f aca="false">H167+I167</f>
        <v>58</v>
      </c>
    </row>
    <row r="168" customFormat="false" ht="15" hidden="false" customHeight="false" outlineLevel="0" collapsed="false">
      <c r="A168" s="62" t="n">
        <v>45821</v>
      </c>
      <c r="B168" s="63" t="n">
        <v>0</v>
      </c>
      <c r="C168" s="63" t="n">
        <v>0</v>
      </c>
      <c r="D168" s="63" t="n">
        <v>184</v>
      </c>
      <c r="E168" s="63" t="n">
        <v>0</v>
      </c>
      <c r="F168" s="43" t="n">
        <f aca="false">SUM(B168:E168)</f>
        <v>184</v>
      </c>
      <c r="G168" s="60" t="n">
        <f aca="false">DATE(YEAR(A168),MONTH(A168),1)</f>
        <v>45809</v>
      </c>
      <c r="H168" s="63" t="n">
        <v>16</v>
      </c>
      <c r="I168" s="63" t="n">
        <v>0</v>
      </c>
      <c r="J168" s="43" t="n">
        <f aca="false">H168+I168</f>
        <v>16</v>
      </c>
    </row>
    <row r="169" customFormat="false" ht="15" hidden="false" customHeight="false" outlineLevel="0" collapsed="false">
      <c r="A169" s="62" t="n">
        <v>45822</v>
      </c>
      <c r="B169" s="63" t="n">
        <v>0</v>
      </c>
      <c r="C169" s="63" t="n">
        <v>0</v>
      </c>
      <c r="D169" s="63" t="n">
        <v>13</v>
      </c>
      <c r="E169" s="63" t="n">
        <v>0</v>
      </c>
      <c r="F169" s="43" t="n">
        <f aca="false">SUM(B169:E169)</f>
        <v>13</v>
      </c>
      <c r="G169" s="60" t="n">
        <f aca="false">DATE(YEAR(A169),MONTH(A169),1)</f>
        <v>45809</v>
      </c>
      <c r="H169" s="63" t="n">
        <v>3</v>
      </c>
      <c r="I169" s="63" t="n">
        <v>0</v>
      </c>
      <c r="J169" s="43" t="n">
        <f aca="false">H169+I169</f>
        <v>3</v>
      </c>
    </row>
    <row r="170" customFormat="false" ht="15" hidden="false" customHeight="false" outlineLevel="0" collapsed="false">
      <c r="A170" s="62" t="n">
        <v>45823</v>
      </c>
      <c r="B170" s="63" t="n">
        <v>0</v>
      </c>
      <c r="C170" s="63" t="n">
        <v>0</v>
      </c>
      <c r="D170" s="63" t="n">
        <v>10</v>
      </c>
      <c r="E170" s="63" t="n">
        <v>0</v>
      </c>
      <c r="F170" s="43" t="n">
        <f aca="false">SUM(B170:E170)</f>
        <v>10</v>
      </c>
      <c r="G170" s="60" t="n">
        <f aca="false">DATE(YEAR(A170),MONTH(A170),1)</f>
        <v>45809</v>
      </c>
      <c r="H170" s="63" t="n">
        <v>1</v>
      </c>
      <c r="I170" s="63" t="n">
        <v>0</v>
      </c>
      <c r="J170" s="43" t="n">
        <f aca="false">H170+I170</f>
        <v>1</v>
      </c>
    </row>
    <row r="171" customFormat="false" ht="15" hidden="false" customHeight="false" outlineLevel="0" collapsed="false">
      <c r="A171" s="62" t="n">
        <v>45824</v>
      </c>
      <c r="B171" s="63" t="n">
        <v>0</v>
      </c>
      <c r="C171" s="63" t="n">
        <v>0</v>
      </c>
      <c r="D171" s="63" t="n">
        <v>7909</v>
      </c>
      <c r="E171" s="63" t="n">
        <v>0</v>
      </c>
      <c r="F171" s="43" t="n">
        <f aca="false">SUM(B171:E171)</f>
        <v>7909</v>
      </c>
      <c r="G171" s="60" t="n">
        <f aca="false">DATE(YEAR(A171),MONTH(A171),1)</f>
        <v>45809</v>
      </c>
      <c r="H171" s="63" t="n">
        <v>7</v>
      </c>
      <c r="I171" s="63" t="n">
        <v>0</v>
      </c>
      <c r="J171" s="43" t="n">
        <f aca="false">H171+I171</f>
        <v>7</v>
      </c>
    </row>
    <row r="172" customFormat="false" ht="15" hidden="false" customHeight="false" outlineLevel="0" collapsed="false">
      <c r="A172" s="62" t="n">
        <v>45825</v>
      </c>
      <c r="B172" s="63" t="n">
        <v>0</v>
      </c>
      <c r="C172" s="63" t="n">
        <v>0</v>
      </c>
      <c r="D172" s="63" t="n">
        <v>281</v>
      </c>
      <c r="E172" s="63" t="n">
        <v>0</v>
      </c>
      <c r="F172" s="43" t="n">
        <f aca="false">SUM(B172:E172)</f>
        <v>281</v>
      </c>
      <c r="G172" s="60" t="n">
        <f aca="false">DATE(YEAR(A172),MONTH(A172),1)</f>
        <v>45809</v>
      </c>
      <c r="H172" s="63" t="n">
        <v>10</v>
      </c>
      <c r="I172" s="63" t="n">
        <v>0</v>
      </c>
      <c r="J172" s="43" t="n">
        <f aca="false">H172+I172</f>
        <v>10</v>
      </c>
    </row>
    <row r="173" customFormat="false" ht="15" hidden="false" customHeight="false" outlineLevel="0" collapsed="false">
      <c r="A173" s="62" t="n">
        <v>45826</v>
      </c>
      <c r="B173" s="63" t="n">
        <v>0</v>
      </c>
      <c r="C173" s="63" t="n">
        <v>0</v>
      </c>
      <c r="D173" s="63" t="n">
        <v>8060</v>
      </c>
      <c r="E173" s="63" t="n">
        <v>0</v>
      </c>
      <c r="F173" s="43" t="n">
        <f aca="false">SUM(B173:E173)</f>
        <v>8060</v>
      </c>
      <c r="G173" s="60" t="n">
        <f aca="false">DATE(YEAR(A173),MONTH(A173),1)</f>
        <v>45809</v>
      </c>
      <c r="H173" s="63" t="n">
        <v>8</v>
      </c>
      <c r="I173" s="63" t="n">
        <v>0</v>
      </c>
      <c r="J173" s="43" t="n">
        <f aca="false">H173+I173</f>
        <v>8</v>
      </c>
    </row>
    <row r="174" customFormat="false" ht="15" hidden="false" customHeight="false" outlineLevel="0" collapsed="false">
      <c r="A174" s="62" t="n">
        <v>45827</v>
      </c>
      <c r="B174" s="63" t="n">
        <v>0</v>
      </c>
      <c r="C174" s="63" t="n">
        <v>0</v>
      </c>
      <c r="D174" s="63" t="n">
        <v>32</v>
      </c>
      <c r="E174" s="63" t="n">
        <v>0</v>
      </c>
      <c r="F174" s="43" t="n">
        <f aca="false">SUM(B174:E174)</f>
        <v>32</v>
      </c>
      <c r="G174" s="60" t="n">
        <f aca="false">DATE(YEAR(A174),MONTH(A174),1)</f>
        <v>45809</v>
      </c>
      <c r="H174" s="63" t="n">
        <v>5</v>
      </c>
      <c r="I174" s="63" t="n">
        <v>0</v>
      </c>
      <c r="J174" s="43" t="n">
        <f aca="false">H174+I174</f>
        <v>5</v>
      </c>
    </row>
    <row r="175" customFormat="false" ht="15" hidden="false" customHeight="false" outlineLevel="0" collapsed="false">
      <c r="A175" s="62" t="n">
        <v>45828</v>
      </c>
      <c r="B175" s="63" t="n">
        <v>0</v>
      </c>
      <c r="C175" s="63" t="n">
        <v>0</v>
      </c>
      <c r="D175" s="63" t="n">
        <v>911</v>
      </c>
      <c r="E175" s="63" t="n">
        <v>0</v>
      </c>
      <c r="F175" s="43" t="n">
        <f aca="false">SUM(B175:E175)</f>
        <v>911</v>
      </c>
      <c r="G175" s="60" t="n">
        <f aca="false">DATE(YEAR(A175),MONTH(A175),1)</f>
        <v>45809</v>
      </c>
      <c r="H175" s="63" t="n">
        <v>6</v>
      </c>
      <c r="I175" s="63" t="n">
        <v>0</v>
      </c>
      <c r="J175" s="43" t="n">
        <f aca="false">H175+I175</f>
        <v>6</v>
      </c>
    </row>
    <row r="176" customFormat="false" ht="15" hidden="false" customHeight="false" outlineLevel="0" collapsed="false">
      <c r="A176" s="62" t="n">
        <v>45829</v>
      </c>
      <c r="B176" s="63" t="n">
        <v>0</v>
      </c>
      <c r="C176" s="63" t="n">
        <v>0</v>
      </c>
      <c r="D176" s="63" t="n">
        <v>11</v>
      </c>
      <c r="E176" s="63" t="n">
        <v>0</v>
      </c>
      <c r="F176" s="43" t="n">
        <f aca="false">SUM(B176:E176)</f>
        <v>11</v>
      </c>
      <c r="G176" s="60" t="n">
        <f aca="false">DATE(YEAR(A176),MONTH(A176),1)</f>
        <v>45809</v>
      </c>
      <c r="H176" s="63" t="n">
        <v>5</v>
      </c>
      <c r="I176" s="63" t="n">
        <v>0</v>
      </c>
      <c r="J176" s="43" t="n">
        <f aca="false">H176+I176</f>
        <v>5</v>
      </c>
    </row>
    <row r="177" customFormat="false" ht="15" hidden="false" customHeight="false" outlineLevel="0" collapsed="false">
      <c r="A177" s="62" t="n">
        <v>45830</v>
      </c>
      <c r="B177" s="63" t="n">
        <v>0</v>
      </c>
      <c r="C177" s="63" t="n">
        <v>0</v>
      </c>
      <c r="D177" s="63" t="n">
        <v>2071</v>
      </c>
      <c r="E177" s="63" t="n">
        <v>0</v>
      </c>
      <c r="F177" s="43" t="n">
        <f aca="false">SUM(B177:E177)</f>
        <v>2071</v>
      </c>
      <c r="G177" s="60" t="n">
        <f aca="false">DATE(YEAR(A177),MONTH(A177),1)</f>
        <v>45809</v>
      </c>
      <c r="H177" s="63" t="n">
        <v>2</v>
      </c>
      <c r="I177" s="63" t="n">
        <v>0</v>
      </c>
      <c r="J177" s="43" t="n">
        <f aca="false">H177+I177</f>
        <v>2</v>
      </c>
    </row>
    <row r="178" customFormat="false" ht="15" hidden="false" customHeight="false" outlineLevel="0" collapsed="false">
      <c r="A178" s="62" t="n">
        <v>45831</v>
      </c>
      <c r="B178" s="63" t="n">
        <v>0</v>
      </c>
      <c r="C178" s="63" t="n">
        <v>0</v>
      </c>
      <c r="D178" s="63" t="n">
        <v>2022</v>
      </c>
      <c r="E178" s="63" t="n">
        <v>0</v>
      </c>
      <c r="F178" s="43" t="n">
        <f aca="false">SUM(B178:E178)</f>
        <v>2022</v>
      </c>
      <c r="G178" s="60" t="n">
        <f aca="false">DATE(YEAR(A178),MONTH(A178),1)</f>
        <v>45809</v>
      </c>
      <c r="H178" s="63" t="n">
        <v>14</v>
      </c>
      <c r="I178" s="63" t="n">
        <v>0</v>
      </c>
      <c r="J178" s="43" t="n">
        <f aca="false">H178+I178</f>
        <v>14</v>
      </c>
    </row>
    <row r="179" customFormat="false" ht="15" hidden="false" customHeight="false" outlineLevel="0" collapsed="false">
      <c r="A179" s="62" t="n">
        <v>45832</v>
      </c>
      <c r="B179" s="63" t="n">
        <v>0</v>
      </c>
      <c r="C179" s="63" t="n">
        <v>0</v>
      </c>
      <c r="D179" s="63" t="n">
        <v>1573</v>
      </c>
      <c r="E179" s="63" t="n">
        <v>0</v>
      </c>
      <c r="F179" s="43" t="n">
        <f aca="false">SUM(B179:E179)</f>
        <v>1573</v>
      </c>
      <c r="G179" s="60" t="n">
        <f aca="false">DATE(YEAR(A179),MONTH(A179),1)</f>
        <v>45809</v>
      </c>
      <c r="H179" s="63" t="n">
        <v>24</v>
      </c>
      <c r="I179" s="63" t="n">
        <v>0</v>
      </c>
      <c r="J179" s="43" t="n">
        <f aca="false">H179+I179</f>
        <v>24</v>
      </c>
    </row>
    <row r="180" customFormat="false" ht="15" hidden="false" customHeight="false" outlineLevel="0" collapsed="false">
      <c r="A180" s="62" t="n">
        <v>45833</v>
      </c>
      <c r="B180" s="63" t="n">
        <v>0</v>
      </c>
      <c r="C180" s="63" t="n">
        <v>0</v>
      </c>
      <c r="D180" s="63" t="n">
        <v>1656</v>
      </c>
      <c r="E180" s="63" t="n">
        <v>0</v>
      </c>
      <c r="F180" s="43" t="n">
        <f aca="false">SUM(B180:E180)</f>
        <v>1656</v>
      </c>
      <c r="G180" s="60" t="n">
        <f aca="false">DATE(YEAR(A180),MONTH(A180),1)</f>
        <v>45809</v>
      </c>
      <c r="H180" s="63" t="n">
        <v>7</v>
      </c>
      <c r="I180" s="63" t="n">
        <v>0</v>
      </c>
      <c r="J180" s="43" t="n">
        <f aca="false">H180+I180</f>
        <v>7</v>
      </c>
    </row>
    <row r="181" customFormat="false" ht="15" hidden="false" customHeight="false" outlineLevel="0" collapsed="false">
      <c r="A181" s="62" t="n">
        <v>45834</v>
      </c>
      <c r="B181" s="63" t="n">
        <v>0</v>
      </c>
      <c r="C181" s="63" t="n">
        <v>0</v>
      </c>
      <c r="D181" s="63" t="n">
        <v>1188</v>
      </c>
      <c r="E181" s="63" t="n">
        <v>0</v>
      </c>
      <c r="F181" s="43" t="n">
        <f aca="false">SUM(B181:E181)</f>
        <v>1188</v>
      </c>
      <c r="G181" s="60" t="n">
        <f aca="false">DATE(YEAR(A181),MONTH(A181),1)</f>
        <v>45809</v>
      </c>
      <c r="H181" s="63" t="n">
        <v>18</v>
      </c>
      <c r="I181" s="63" t="n">
        <v>0</v>
      </c>
      <c r="J181" s="43" t="n">
        <f aca="false">H181+I181</f>
        <v>18</v>
      </c>
    </row>
    <row r="182" customFormat="false" ht="15" hidden="false" customHeight="false" outlineLevel="0" collapsed="false">
      <c r="A182" s="62" t="n">
        <v>45835</v>
      </c>
      <c r="B182" s="63" t="n">
        <v>0</v>
      </c>
      <c r="C182" s="63" t="n">
        <v>0</v>
      </c>
      <c r="D182" s="63" t="n">
        <v>3153</v>
      </c>
      <c r="E182" s="63" t="n">
        <v>0</v>
      </c>
      <c r="F182" s="43" t="n">
        <f aca="false">SUM(B182:E182)</f>
        <v>3153</v>
      </c>
      <c r="G182" s="60" t="n">
        <f aca="false">DATE(YEAR(A182),MONTH(A182),1)</f>
        <v>45809</v>
      </c>
      <c r="H182" s="63" t="n">
        <v>23</v>
      </c>
      <c r="I182" s="63" t="n">
        <v>0</v>
      </c>
      <c r="J182" s="43" t="n">
        <f aca="false">H182+I182</f>
        <v>23</v>
      </c>
    </row>
    <row r="183" customFormat="false" ht="15" hidden="false" customHeight="false" outlineLevel="0" collapsed="false">
      <c r="A183" s="62" t="n">
        <v>45836</v>
      </c>
      <c r="B183" s="63" t="n">
        <v>0</v>
      </c>
      <c r="C183" s="63" t="n">
        <v>0</v>
      </c>
      <c r="D183" s="63" t="n">
        <v>11</v>
      </c>
      <c r="E183" s="63" t="n">
        <v>0</v>
      </c>
      <c r="F183" s="43" t="n">
        <f aca="false">SUM(B183:E183)</f>
        <v>11</v>
      </c>
      <c r="G183" s="60" t="n">
        <f aca="false">DATE(YEAR(A183),MONTH(A183),1)</f>
        <v>45809</v>
      </c>
      <c r="H183" s="63" t="n">
        <v>62</v>
      </c>
      <c r="I183" s="63" t="n">
        <v>0</v>
      </c>
      <c r="J183" s="43" t="n">
        <f aca="false">H183+I183</f>
        <v>62</v>
      </c>
    </row>
    <row r="184" customFormat="false" ht="15" hidden="false" customHeight="false" outlineLevel="0" collapsed="false">
      <c r="A184" s="62" t="n">
        <v>45837</v>
      </c>
      <c r="B184" s="63" t="n">
        <v>0</v>
      </c>
      <c r="C184" s="63" t="n">
        <v>0</v>
      </c>
      <c r="D184" s="63" t="n">
        <v>4</v>
      </c>
      <c r="E184" s="63" t="n">
        <v>0</v>
      </c>
      <c r="F184" s="43" t="n">
        <f aca="false">SUM(B184:E184)</f>
        <v>4</v>
      </c>
      <c r="G184" s="60" t="n">
        <f aca="false">DATE(YEAR(A184),MONTH(A184),1)</f>
        <v>45809</v>
      </c>
      <c r="H184" s="63" t="n">
        <v>3</v>
      </c>
      <c r="I184" s="63" t="n">
        <v>0</v>
      </c>
      <c r="J184" s="43" t="n">
        <f aca="false">H184+I184</f>
        <v>3</v>
      </c>
    </row>
    <row r="185" customFormat="false" ht="15" hidden="false" customHeight="false" outlineLevel="0" collapsed="false">
      <c r="A185" s="62" t="n">
        <v>45838</v>
      </c>
      <c r="B185" s="63" t="n">
        <v>0</v>
      </c>
      <c r="C185" s="63" t="n">
        <v>0</v>
      </c>
      <c r="D185" s="63" t="n">
        <v>6651</v>
      </c>
      <c r="E185" s="63" t="n">
        <v>0</v>
      </c>
      <c r="F185" s="43" t="n">
        <f aca="false">SUM(B185:E185)</f>
        <v>6651</v>
      </c>
      <c r="G185" s="60" t="n">
        <f aca="false">DATE(YEAR(A185),MONTH(A185),1)</f>
        <v>45809</v>
      </c>
      <c r="H185" s="63" t="n">
        <v>10</v>
      </c>
      <c r="I185" s="63" t="n">
        <v>0</v>
      </c>
      <c r="J185" s="43" t="n">
        <f aca="false">H185+I185</f>
        <v>10</v>
      </c>
    </row>
    <row r="186" customFormat="false" ht="15" hidden="false" customHeight="false" outlineLevel="0" collapsed="false">
      <c r="A186" s="62" t="n">
        <v>45839</v>
      </c>
      <c r="B186" s="63" t="n">
        <v>0</v>
      </c>
      <c r="C186" s="63" t="n">
        <v>0</v>
      </c>
      <c r="D186" s="63" t="n">
        <v>534</v>
      </c>
      <c r="E186" s="63" t="n">
        <v>0</v>
      </c>
      <c r="F186" s="43" t="n">
        <f aca="false">SUM(B186:E186)</f>
        <v>534</v>
      </c>
      <c r="G186" s="60" t="n">
        <f aca="false">DATE(YEAR(A186),MONTH(A186),1)</f>
        <v>45839</v>
      </c>
      <c r="H186" s="63" t="n">
        <v>0</v>
      </c>
      <c r="I186" s="63" t="n">
        <v>43</v>
      </c>
      <c r="J186" s="43" t="n">
        <f aca="false">H186+I186</f>
        <v>43</v>
      </c>
    </row>
    <row r="187" customFormat="false" ht="15" hidden="false" customHeight="false" outlineLevel="0" collapsed="false">
      <c r="A187" s="62" t="n">
        <v>45840</v>
      </c>
      <c r="B187" s="63" t="n">
        <v>0</v>
      </c>
      <c r="C187" s="63" t="n">
        <v>0</v>
      </c>
      <c r="D187" s="63" t="n">
        <v>1554</v>
      </c>
      <c r="E187" s="63" t="n">
        <v>0</v>
      </c>
      <c r="F187" s="43" t="n">
        <f aca="false">SUM(B187:E187)</f>
        <v>1554</v>
      </c>
      <c r="G187" s="60" t="n">
        <f aca="false">DATE(YEAR(A187),MONTH(A187),1)</f>
        <v>45839</v>
      </c>
      <c r="H187" s="63" t="n">
        <v>0</v>
      </c>
      <c r="I187" s="63" t="n">
        <v>38</v>
      </c>
      <c r="J187" s="43" t="n">
        <f aca="false">H187+I187</f>
        <v>38</v>
      </c>
    </row>
    <row r="188" customFormat="false" ht="15" hidden="false" customHeight="false" outlineLevel="0" collapsed="false">
      <c r="A188" s="62" t="n">
        <v>45841</v>
      </c>
      <c r="B188" s="63" t="n">
        <v>0</v>
      </c>
      <c r="C188" s="63" t="n">
        <v>0</v>
      </c>
      <c r="D188" s="63" t="n">
        <v>1594</v>
      </c>
      <c r="E188" s="63" t="n">
        <v>0</v>
      </c>
      <c r="F188" s="43" t="n">
        <f aca="false">SUM(B188:E188)</f>
        <v>1594</v>
      </c>
      <c r="G188" s="60" t="n">
        <f aca="false">DATE(YEAR(A188),MONTH(A188),1)</f>
        <v>45839</v>
      </c>
      <c r="H188" s="63" t="n">
        <v>0</v>
      </c>
      <c r="I188" s="63" t="n">
        <v>196</v>
      </c>
      <c r="J188" s="43" t="n">
        <f aca="false">H188+I188</f>
        <v>196</v>
      </c>
    </row>
    <row r="189" customFormat="false" ht="15" hidden="false" customHeight="false" outlineLevel="0" collapsed="false">
      <c r="A189" s="62" t="n">
        <v>45842</v>
      </c>
      <c r="B189" s="63" t="n">
        <v>0</v>
      </c>
      <c r="C189" s="63" t="n">
        <v>0</v>
      </c>
      <c r="D189" s="63" t="n">
        <v>1000</v>
      </c>
      <c r="E189" s="63" t="n">
        <v>0</v>
      </c>
      <c r="F189" s="43" t="n">
        <f aca="false">SUM(B189:E189)</f>
        <v>1000</v>
      </c>
      <c r="G189" s="60" t="n">
        <f aca="false">DATE(YEAR(A189),MONTH(A189),1)</f>
        <v>45839</v>
      </c>
      <c r="H189" s="63" t="n">
        <v>0</v>
      </c>
      <c r="I189" s="63" t="n">
        <v>53</v>
      </c>
      <c r="J189" s="43" t="n">
        <f aca="false">H189+I189</f>
        <v>53</v>
      </c>
    </row>
    <row r="190" customFormat="false" ht="15" hidden="false" customHeight="false" outlineLevel="0" collapsed="false">
      <c r="A190" s="62" t="n">
        <v>45843</v>
      </c>
      <c r="B190" s="63" t="n">
        <v>0</v>
      </c>
      <c r="C190" s="63" t="n">
        <v>0</v>
      </c>
      <c r="D190" s="63" t="n">
        <v>6</v>
      </c>
      <c r="E190" s="63" t="n">
        <v>0</v>
      </c>
      <c r="F190" s="43" t="n">
        <f aca="false">SUM(B190:E190)</f>
        <v>6</v>
      </c>
      <c r="G190" s="60" t="n">
        <f aca="false">DATE(YEAR(A190),MONTH(A190),1)</f>
        <v>45839</v>
      </c>
      <c r="H190" s="63" t="n">
        <v>0</v>
      </c>
      <c r="I190" s="63" t="n">
        <v>3</v>
      </c>
      <c r="J190" s="43" t="n">
        <f aca="false">H190+I190</f>
        <v>3</v>
      </c>
    </row>
    <row r="191" customFormat="false" ht="15" hidden="false" customHeight="false" outlineLevel="0" collapsed="false">
      <c r="A191" s="62" t="n">
        <v>45844</v>
      </c>
      <c r="B191" s="63" t="n">
        <v>0</v>
      </c>
      <c r="C191" s="63" t="n">
        <v>0</v>
      </c>
      <c r="D191" s="63" t="n">
        <v>5</v>
      </c>
      <c r="E191" s="63" t="n">
        <v>0</v>
      </c>
      <c r="F191" s="43" t="n">
        <f aca="false">SUM(B191:E191)</f>
        <v>5</v>
      </c>
      <c r="G191" s="60" t="n">
        <f aca="false">DATE(YEAR(A191),MONTH(A191),1)</f>
        <v>45839</v>
      </c>
      <c r="H191" s="63" t="n">
        <v>0</v>
      </c>
      <c r="I191" s="63" t="n">
        <v>3</v>
      </c>
      <c r="J191" s="43" t="n">
        <f aca="false">H191+I191</f>
        <v>3</v>
      </c>
    </row>
    <row r="192" customFormat="false" ht="15" hidden="false" customHeight="false" outlineLevel="0" collapsed="false">
      <c r="A192" s="62" t="n">
        <v>45845</v>
      </c>
      <c r="B192" s="63" t="n">
        <v>0</v>
      </c>
      <c r="C192" s="63" t="n">
        <v>0</v>
      </c>
      <c r="D192" s="63" t="n">
        <v>1790</v>
      </c>
      <c r="E192" s="63" t="n">
        <v>0</v>
      </c>
      <c r="F192" s="43" t="n">
        <f aca="false">SUM(B192:E192)</f>
        <v>1790</v>
      </c>
      <c r="G192" s="60" t="n">
        <f aca="false">DATE(YEAR(A192),MONTH(A192),1)</f>
        <v>45839</v>
      </c>
      <c r="H192" s="63" t="n">
        <v>0</v>
      </c>
      <c r="I192" s="63" t="n">
        <v>128</v>
      </c>
      <c r="J192" s="43" t="n">
        <f aca="false">H192+I192</f>
        <v>128</v>
      </c>
    </row>
    <row r="193" customFormat="false" ht="15" hidden="false" customHeight="false" outlineLevel="0" collapsed="false">
      <c r="A193" s="62" t="n">
        <v>45846</v>
      </c>
      <c r="B193" s="63" t="n">
        <v>0</v>
      </c>
      <c r="C193" s="63" t="n">
        <v>0</v>
      </c>
      <c r="D193" s="63" t="n">
        <v>3</v>
      </c>
      <c r="E193" s="63" t="n">
        <v>0</v>
      </c>
      <c r="F193" s="43" t="n">
        <f aca="false">SUM(B193:E193)</f>
        <v>3</v>
      </c>
      <c r="G193" s="60" t="n">
        <f aca="false">DATE(YEAR(A193),MONTH(A193),1)</f>
        <v>45839</v>
      </c>
      <c r="H193" s="63" t="n">
        <v>0</v>
      </c>
      <c r="I193" s="63" t="n">
        <v>16</v>
      </c>
      <c r="J193" s="43" t="n">
        <f aca="false">H193+I193</f>
        <v>16</v>
      </c>
    </row>
    <row r="194" customFormat="false" ht="15" hidden="false" customHeight="false" outlineLevel="0" collapsed="false">
      <c r="A194" s="62" t="n">
        <v>45847</v>
      </c>
      <c r="B194" s="63" t="n">
        <v>0</v>
      </c>
      <c r="C194" s="63" t="n">
        <v>0</v>
      </c>
      <c r="D194" s="63" t="n">
        <v>1</v>
      </c>
      <c r="E194" s="63" t="n">
        <v>0</v>
      </c>
      <c r="F194" s="43" t="n">
        <f aca="false">SUM(B194:E194)</f>
        <v>1</v>
      </c>
      <c r="G194" s="60" t="n">
        <f aca="false">DATE(YEAR(A194),MONTH(A194),1)</f>
        <v>45839</v>
      </c>
      <c r="H194" s="63" t="n">
        <v>0</v>
      </c>
      <c r="I194" s="63" t="n">
        <v>19</v>
      </c>
      <c r="J194" s="43" t="n">
        <f aca="false">H194+I194</f>
        <v>19</v>
      </c>
    </row>
    <row r="195" customFormat="false" ht="15" hidden="false" customHeight="false" outlineLevel="0" collapsed="false">
      <c r="A195" s="62" t="n">
        <v>45848</v>
      </c>
      <c r="B195" s="63" t="n">
        <v>0</v>
      </c>
      <c r="C195" s="63" t="n">
        <v>0</v>
      </c>
      <c r="D195" s="63" t="n">
        <v>2184</v>
      </c>
      <c r="E195" s="63" t="n">
        <v>0</v>
      </c>
      <c r="F195" s="43" t="n">
        <f aca="false">SUM(B195:E195)</f>
        <v>2184</v>
      </c>
      <c r="G195" s="60" t="n">
        <f aca="false">DATE(YEAR(A195),MONTH(A195),1)</f>
        <v>45839</v>
      </c>
      <c r="H195" s="63" t="n">
        <v>0</v>
      </c>
      <c r="I195" s="63" t="n">
        <v>457</v>
      </c>
      <c r="J195" s="43" t="n">
        <f aca="false">H195+I195</f>
        <v>457</v>
      </c>
    </row>
    <row r="196" customFormat="false" ht="15" hidden="false" customHeight="false" outlineLevel="0" collapsed="false">
      <c r="A196" s="62" t="n">
        <v>45849</v>
      </c>
      <c r="B196" s="63" t="n">
        <v>0</v>
      </c>
      <c r="C196" s="63" t="n">
        <v>0</v>
      </c>
      <c r="D196" s="63" t="n">
        <v>8227</v>
      </c>
      <c r="E196" s="63" t="n">
        <v>0</v>
      </c>
      <c r="F196" s="43" t="n">
        <f aca="false">SUM(B196:E196)</f>
        <v>8227</v>
      </c>
      <c r="G196" s="60" t="n">
        <f aca="false">DATE(YEAR(A196),MONTH(A196),1)</f>
        <v>45839</v>
      </c>
      <c r="H196" s="63" t="n">
        <v>0</v>
      </c>
      <c r="I196" s="63" t="n">
        <v>138</v>
      </c>
      <c r="J196" s="43" t="n">
        <f aca="false">H196+I196</f>
        <v>138</v>
      </c>
    </row>
    <row r="197" customFormat="false" ht="15" hidden="false" customHeight="false" outlineLevel="0" collapsed="false">
      <c r="A197" s="62" t="n">
        <v>45850</v>
      </c>
      <c r="B197" s="63" t="n">
        <v>0</v>
      </c>
      <c r="C197" s="63" t="n">
        <v>0</v>
      </c>
      <c r="D197" s="63" t="n">
        <v>15</v>
      </c>
      <c r="E197" s="63" t="n">
        <v>0</v>
      </c>
      <c r="F197" s="43" t="n">
        <f aca="false">SUM(B197:E197)</f>
        <v>15</v>
      </c>
      <c r="G197" s="60" t="n">
        <f aca="false">DATE(YEAR(A197),MONTH(A197),1)</f>
        <v>45839</v>
      </c>
      <c r="H197" s="63" t="n">
        <v>0</v>
      </c>
      <c r="I197" s="63" t="n">
        <v>18</v>
      </c>
      <c r="J197" s="43" t="n">
        <f aca="false">H197+I197</f>
        <v>18</v>
      </c>
    </row>
    <row r="198" customFormat="false" ht="15" hidden="false" customHeight="false" outlineLevel="0" collapsed="false">
      <c r="A198" s="62" t="n">
        <v>45851</v>
      </c>
      <c r="B198" s="63" t="n">
        <v>0</v>
      </c>
      <c r="C198" s="63" t="n">
        <v>0</v>
      </c>
      <c r="D198" s="63" t="n">
        <v>9</v>
      </c>
      <c r="E198" s="63" t="n">
        <v>0</v>
      </c>
      <c r="F198" s="43" t="n">
        <f aca="false">SUM(B198:E198)</f>
        <v>9</v>
      </c>
      <c r="G198" s="60" t="n">
        <f aca="false">DATE(YEAR(A198),MONTH(A198),1)</f>
        <v>45839</v>
      </c>
      <c r="H198" s="63" t="n">
        <v>0</v>
      </c>
      <c r="I198" s="63" t="n">
        <v>4</v>
      </c>
      <c r="J198" s="43" t="n">
        <f aca="false">H198+I198</f>
        <v>4</v>
      </c>
    </row>
    <row r="199" customFormat="false" ht="15" hidden="false" customHeight="false" outlineLevel="0" collapsed="false">
      <c r="A199" s="62" t="n">
        <v>45852</v>
      </c>
      <c r="B199" s="63" t="n">
        <v>0</v>
      </c>
      <c r="C199" s="63" t="n">
        <v>0</v>
      </c>
      <c r="D199" s="63" t="n">
        <v>928</v>
      </c>
      <c r="E199" s="63" t="n">
        <v>0</v>
      </c>
      <c r="F199" s="43" t="n">
        <f aca="false">SUM(B199:E199)</f>
        <v>928</v>
      </c>
      <c r="G199" s="60" t="n">
        <f aca="false">DATE(YEAR(A199),MONTH(A199),1)</f>
        <v>45839</v>
      </c>
      <c r="H199" s="63" t="n">
        <v>0</v>
      </c>
      <c r="I199" s="63" t="n">
        <v>25</v>
      </c>
      <c r="J199" s="43" t="n">
        <f aca="false">H199+I199</f>
        <v>25</v>
      </c>
    </row>
    <row r="200" customFormat="false" ht="15" hidden="false" customHeight="false" outlineLevel="0" collapsed="false">
      <c r="A200" s="62" t="n">
        <v>45853</v>
      </c>
      <c r="B200" s="63" t="n">
        <v>0</v>
      </c>
      <c r="C200" s="63" t="n">
        <v>0</v>
      </c>
      <c r="D200" s="63" t="n">
        <v>3640</v>
      </c>
      <c r="E200" s="63" t="n">
        <v>0</v>
      </c>
      <c r="F200" s="43" t="n">
        <f aca="false">SUM(B200:E200)</f>
        <v>3640</v>
      </c>
      <c r="G200" s="60" t="n">
        <f aca="false">DATE(YEAR(A200),MONTH(A200),1)</f>
        <v>45839</v>
      </c>
      <c r="H200" s="63" t="n">
        <v>0</v>
      </c>
      <c r="I200" s="63" t="n">
        <v>177</v>
      </c>
      <c r="J200" s="43" t="n">
        <f aca="false">H200+I200</f>
        <v>177</v>
      </c>
    </row>
    <row r="201" customFormat="false" ht="15" hidden="false" customHeight="false" outlineLevel="0" collapsed="false">
      <c r="A201" s="62" t="n">
        <v>45854</v>
      </c>
      <c r="B201" s="63" t="n">
        <v>0</v>
      </c>
      <c r="C201" s="63" t="n">
        <v>0</v>
      </c>
      <c r="D201" s="63" t="n">
        <v>7049</v>
      </c>
      <c r="E201" s="63" t="n">
        <v>0</v>
      </c>
      <c r="F201" s="43" t="n">
        <f aca="false">SUM(B201:E201)</f>
        <v>7049</v>
      </c>
      <c r="G201" s="60" t="n">
        <f aca="false">DATE(YEAR(A201),MONTH(A201),1)</f>
        <v>45839</v>
      </c>
      <c r="H201" s="63" t="n">
        <v>0</v>
      </c>
      <c r="I201" s="63" t="n">
        <v>118</v>
      </c>
      <c r="J201" s="43" t="n">
        <f aca="false">H201+I201</f>
        <v>118</v>
      </c>
    </row>
    <row r="202" customFormat="false" ht="15" hidden="false" customHeight="false" outlineLevel="0" collapsed="false">
      <c r="A202" s="62" t="n">
        <v>45855</v>
      </c>
      <c r="B202" s="63" t="n">
        <v>0</v>
      </c>
      <c r="C202" s="63" t="n">
        <v>0</v>
      </c>
      <c r="D202" s="63" t="n">
        <v>19</v>
      </c>
      <c r="E202" s="63" t="n">
        <v>0</v>
      </c>
      <c r="F202" s="43" t="n">
        <f aca="false">SUM(B202:E202)</f>
        <v>19</v>
      </c>
      <c r="G202" s="60" t="n">
        <f aca="false">DATE(YEAR(A202),MONTH(A202),1)</f>
        <v>45839</v>
      </c>
      <c r="H202" s="63" t="n">
        <v>0</v>
      </c>
      <c r="I202" s="63" t="n">
        <v>16</v>
      </c>
      <c r="J202" s="43" t="n">
        <f aca="false">H202+I202</f>
        <v>16</v>
      </c>
    </row>
    <row r="203" customFormat="false" ht="15" hidden="false" customHeight="false" outlineLevel="0" collapsed="false">
      <c r="A203" s="62" t="n">
        <v>45856</v>
      </c>
      <c r="B203" s="63" t="n">
        <v>0</v>
      </c>
      <c r="C203" s="63" t="n">
        <v>0</v>
      </c>
      <c r="D203" s="63" t="n">
        <v>4</v>
      </c>
      <c r="E203" s="63" t="n">
        <v>0</v>
      </c>
      <c r="F203" s="43" t="n">
        <f aca="false">SUM(B203:E203)</f>
        <v>4</v>
      </c>
      <c r="G203" s="60" t="n">
        <f aca="false">DATE(YEAR(A203),MONTH(A203),1)</f>
        <v>45839</v>
      </c>
      <c r="H203" s="63" t="n">
        <v>0</v>
      </c>
      <c r="I203" s="63" t="n">
        <v>5</v>
      </c>
      <c r="J203" s="43" t="n">
        <f aca="false">H203+I203</f>
        <v>5</v>
      </c>
    </row>
    <row r="204" customFormat="false" ht="15" hidden="false" customHeight="false" outlineLevel="0" collapsed="false">
      <c r="A204" s="62" t="n">
        <v>45857</v>
      </c>
      <c r="B204" s="63" t="n">
        <v>0</v>
      </c>
      <c r="C204" s="63" t="n">
        <v>0</v>
      </c>
      <c r="D204" s="63" t="n">
        <v>4</v>
      </c>
      <c r="E204" s="63" t="n">
        <v>0</v>
      </c>
      <c r="F204" s="43" t="n">
        <f aca="false">SUM(B204:E204)</f>
        <v>4</v>
      </c>
      <c r="G204" s="60" t="n">
        <f aca="false">DATE(YEAR(A204),MONTH(A204),1)</f>
        <v>45839</v>
      </c>
      <c r="H204" s="63" t="n">
        <v>0</v>
      </c>
      <c r="I204" s="63" t="n">
        <v>9</v>
      </c>
      <c r="J204" s="43" t="n">
        <f aca="false">H204+I204</f>
        <v>9</v>
      </c>
    </row>
    <row r="205" customFormat="false" ht="15" hidden="false" customHeight="false" outlineLevel="0" collapsed="false">
      <c r="A205" s="62" t="n">
        <v>45858</v>
      </c>
      <c r="B205" s="63" t="n">
        <v>0</v>
      </c>
      <c r="C205" s="63" t="n">
        <v>0</v>
      </c>
      <c r="D205" s="63" t="n">
        <v>6</v>
      </c>
      <c r="E205" s="63" t="n">
        <v>0</v>
      </c>
      <c r="F205" s="43" t="n">
        <f aca="false">SUM(B205:E205)</f>
        <v>6</v>
      </c>
      <c r="G205" s="60" t="n">
        <f aca="false">DATE(YEAR(A205),MONTH(A205),1)</f>
        <v>45839</v>
      </c>
      <c r="H205" s="63" t="n">
        <v>0</v>
      </c>
      <c r="I205" s="63" t="n">
        <v>8</v>
      </c>
      <c r="J205" s="43" t="n">
        <f aca="false">H205+I205</f>
        <v>8</v>
      </c>
    </row>
    <row r="206" customFormat="false" ht="15" hidden="false" customHeight="false" outlineLevel="0" collapsed="false">
      <c r="A206" s="62" t="n">
        <v>45859</v>
      </c>
      <c r="B206" s="63" t="n">
        <v>0</v>
      </c>
      <c r="C206" s="63" t="n">
        <v>0</v>
      </c>
      <c r="D206" s="63" t="n">
        <v>2482</v>
      </c>
      <c r="E206" s="63" t="n">
        <v>0</v>
      </c>
      <c r="F206" s="43" t="n">
        <f aca="false">SUM(B206:E206)</f>
        <v>2482</v>
      </c>
      <c r="G206" s="60" t="n">
        <f aca="false">DATE(YEAR(A206),MONTH(A206),1)</f>
        <v>45839</v>
      </c>
      <c r="H206" s="63" t="n">
        <v>0</v>
      </c>
      <c r="I206" s="63" t="n">
        <v>52</v>
      </c>
      <c r="J206" s="43" t="n">
        <f aca="false">H206+I206</f>
        <v>52</v>
      </c>
    </row>
    <row r="207" customFormat="false" ht="15" hidden="false" customHeight="false" outlineLevel="0" collapsed="false">
      <c r="A207" s="62" t="n">
        <v>45860</v>
      </c>
      <c r="B207" s="63" t="n">
        <v>0</v>
      </c>
      <c r="C207" s="63" t="n">
        <v>0</v>
      </c>
      <c r="D207" s="63" t="n">
        <v>92</v>
      </c>
      <c r="E207" s="63" t="n">
        <v>0</v>
      </c>
      <c r="F207" s="43" t="n">
        <f aca="false">SUM(B207:E207)</f>
        <v>92</v>
      </c>
      <c r="G207" s="60" t="n">
        <f aca="false">DATE(YEAR(A207),MONTH(A207),1)</f>
        <v>45839</v>
      </c>
      <c r="H207" s="63" t="n">
        <v>0</v>
      </c>
      <c r="I207" s="63" t="n">
        <v>16</v>
      </c>
      <c r="J207" s="43" t="n">
        <f aca="false">H207+I207</f>
        <v>16</v>
      </c>
    </row>
    <row r="208" customFormat="false" ht="15" hidden="false" customHeight="false" outlineLevel="0" collapsed="false">
      <c r="A208" s="62" t="n">
        <v>45861</v>
      </c>
      <c r="B208" s="63" t="n">
        <v>0</v>
      </c>
      <c r="C208" s="63" t="n">
        <v>0</v>
      </c>
      <c r="D208" s="63" t="n">
        <v>1096</v>
      </c>
      <c r="E208" s="63" t="n">
        <v>0</v>
      </c>
      <c r="F208" s="43" t="n">
        <f aca="false">SUM(B208:E208)</f>
        <v>1096</v>
      </c>
      <c r="G208" s="60" t="n">
        <f aca="false">DATE(YEAR(A208),MONTH(A208),1)</f>
        <v>45839</v>
      </c>
      <c r="H208" s="63" t="n">
        <v>0</v>
      </c>
      <c r="I208" s="63" t="n">
        <v>5</v>
      </c>
      <c r="J208" s="43" t="n">
        <f aca="false">H208+I208</f>
        <v>5</v>
      </c>
    </row>
    <row r="209" customFormat="false" ht="15" hidden="false" customHeight="false" outlineLevel="0" collapsed="false">
      <c r="A209" s="62" t="n">
        <v>45862</v>
      </c>
      <c r="B209" s="63" t="n">
        <v>0</v>
      </c>
      <c r="C209" s="63" t="n">
        <v>0</v>
      </c>
      <c r="D209" s="63" t="n">
        <v>805</v>
      </c>
      <c r="E209" s="63" t="n">
        <v>0</v>
      </c>
      <c r="F209" s="43" t="n">
        <f aca="false">SUM(B209:E209)</f>
        <v>805</v>
      </c>
      <c r="G209" s="60" t="n">
        <f aca="false">DATE(YEAR(A209),MONTH(A209),1)</f>
        <v>45839</v>
      </c>
      <c r="H209" s="63" t="n">
        <v>0</v>
      </c>
      <c r="I209" s="63" t="n">
        <v>33</v>
      </c>
      <c r="J209" s="43" t="n">
        <f aca="false">H209+I209</f>
        <v>33</v>
      </c>
    </row>
    <row r="210" customFormat="false" ht="15" hidden="false" customHeight="false" outlineLevel="0" collapsed="false">
      <c r="A210" s="62" t="n">
        <v>45863</v>
      </c>
      <c r="B210" s="63" t="n">
        <v>0</v>
      </c>
      <c r="C210" s="63" t="n">
        <v>0</v>
      </c>
      <c r="D210" s="63" t="n">
        <v>0</v>
      </c>
      <c r="E210" s="63" t="n">
        <v>0</v>
      </c>
      <c r="F210" s="43" t="n">
        <f aca="false">SUM(B210:E210)</f>
        <v>0</v>
      </c>
      <c r="G210" s="60" t="n">
        <f aca="false">DATE(YEAR(A210),MONTH(A210),1)</f>
        <v>45839</v>
      </c>
      <c r="H210" s="63" t="n">
        <v>0</v>
      </c>
      <c r="I210" s="63" t="n">
        <v>7</v>
      </c>
      <c r="J210" s="43" t="n">
        <f aca="false">H210+I210</f>
        <v>7</v>
      </c>
    </row>
    <row r="211" customFormat="false" ht="15" hidden="false" customHeight="false" outlineLevel="0" collapsed="false">
      <c r="A211" s="62" t="n">
        <v>45864</v>
      </c>
      <c r="B211" s="63" t="n">
        <v>0</v>
      </c>
      <c r="C211" s="63" t="n">
        <v>0</v>
      </c>
      <c r="D211" s="63" t="n">
        <v>0</v>
      </c>
      <c r="E211" s="63" t="n">
        <v>0</v>
      </c>
      <c r="F211" s="43" t="n">
        <f aca="false">SUM(B211:E211)</f>
        <v>0</v>
      </c>
      <c r="G211" s="60" t="n">
        <f aca="false">DATE(YEAR(A211),MONTH(A211),1)</f>
        <v>45839</v>
      </c>
      <c r="H211" s="63" t="n">
        <v>0</v>
      </c>
      <c r="I211" s="63" t="n">
        <v>2</v>
      </c>
      <c r="J211" s="43" t="n">
        <f aca="false">H211+I211</f>
        <v>2</v>
      </c>
    </row>
    <row r="212" customFormat="false" ht="15" hidden="false" customHeight="false" outlineLevel="0" collapsed="false">
      <c r="A212" s="62" t="n">
        <v>45865</v>
      </c>
      <c r="B212" s="63" t="n">
        <v>0</v>
      </c>
      <c r="C212" s="63" t="n">
        <v>0</v>
      </c>
      <c r="D212" s="63" t="n">
        <v>0</v>
      </c>
      <c r="E212" s="63" t="n">
        <v>0</v>
      </c>
      <c r="F212" s="43" t="n">
        <f aca="false">SUM(B212:E212)</f>
        <v>0</v>
      </c>
      <c r="G212" s="60" t="n">
        <f aca="false">DATE(YEAR(A212),MONTH(A212),1)</f>
        <v>45839</v>
      </c>
      <c r="H212" s="63" t="n">
        <v>0</v>
      </c>
      <c r="I212" s="63" t="n">
        <v>16</v>
      </c>
      <c r="J212" s="43" t="n">
        <f aca="false">H212+I212</f>
        <v>16</v>
      </c>
    </row>
    <row r="213" customFormat="false" ht="15" hidden="false" customHeight="false" outlineLevel="0" collapsed="false">
      <c r="A213" s="62" t="n">
        <v>45866</v>
      </c>
      <c r="B213" s="63" t="n">
        <v>0</v>
      </c>
      <c r="C213" s="63" t="n">
        <v>0</v>
      </c>
      <c r="D213" s="63" t="n">
        <v>0</v>
      </c>
      <c r="E213" s="63" t="n">
        <v>0</v>
      </c>
      <c r="F213" s="43" t="n">
        <f aca="false">SUM(B213:E213)</f>
        <v>0</v>
      </c>
      <c r="G213" s="60" t="n">
        <f aca="false">DATE(YEAR(A213),MONTH(A213),1)</f>
        <v>45839</v>
      </c>
      <c r="H213" s="63" t="n">
        <v>0</v>
      </c>
      <c r="I213" s="63" t="n">
        <v>10</v>
      </c>
      <c r="J213" s="43" t="n">
        <f aca="false">H213+I213</f>
        <v>10</v>
      </c>
    </row>
    <row r="214" customFormat="false" ht="15" hidden="false" customHeight="false" outlineLevel="0" collapsed="false">
      <c r="A214" s="62" t="n">
        <v>45867</v>
      </c>
      <c r="B214" s="63" t="n">
        <v>0</v>
      </c>
      <c r="C214" s="63" t="n">
        <v>0</v>
      </c>
      <c r="D214" s="63" t="n">
        <v>3329</v>
      </c>
      <c r="E214" s="63" t="n">
        <v>0</v>
      </c>
      <c r="F214" s="43" t="n">
        <f aca="false">SUM(B214:E214)</f>
        <v>3329</v>
      </c>
      <c r="G214" s="60" t="n">
        <f aca="false">DATE(YEAR(A214),MONTH(A214),1)</f>
        <v>45839</v>
      </c>
      <c r="H214" s="63" t="n">
        <v>0</v>
      </c>
      <c r="I214" s="63" t="n">
        <v>396</v>
      </c>
      <c r="J214" s="43" t="n">
        <f aca="false">H214+I214</f>
        <v>396</v>
      </c>
    </row>
    <row r="215" customFormat="false" ht="15" hidden="false" customHeight="false" outlineLevel="0" collapsed="false">
      <c r="A215" s="62" t="n">
        <v>45868</v>
      </c>
      <c r="B215" s="63" t="n">
        <v>0</v>
      </c>
      <c r="C215" s="63" t="n">
        <v>0</v>
      </c>
      <c r="D215" s="63" t="n">
        <v>1</v>
      </c>
      <c r="E215" s="63" t="n">
        <v>0</v>
      </c>
      <c r="F215" s="43" t="n">
        <f aca="false">SUM(B215:E215)</f>
        <v>1</v>
      </c>
      <c r="G215" s="60" t="n">
        <f aca="false">DATE(YEAR(A215),MONTH(A215),1)</f>
        <v>45839</v>
      </c>
      <c r="H215" s="63" t="n">
        <v>0</v>
      </c>
      <c r="I215" s="63" t="n">
        <v>60</v>
      </c>
      <c r="J215" s="43" t="n">
        <f aca="false">H215+I215</f>
        <v>60</v>
      </c>
    </row>
    <row r="216" customFormat="false" ht="15" hidden="false" customHeight="false" outlineLevel="0" collapsed="false">
      <c r="A216" s="62" t="n">
        <v>45869</v>
      </c>
      <c r="B216" s="63" t="n">
        <v>0</v>
      </c>
      <c r="C216" s="63" t="n">
        <v>0</v>
      </c>
      <c r="D216" s="63" t="n">
        <v>2292</v>
      </c>
      <c r="E216" s="63" t="n">
        <v>0</v>
      </c>
      <c r="F216" s="43" t="n">
        <f aca="false">SUM(B216:E216)</f>
        <v>2292</v>
      </c>
      <c r="G216" s="60" t="n">
        <f aca="false">DATE(YEAR(A216),MONTH(A216),1)</f>
        <v>45839</v>
      </c>
      <c r="H216" s="63" t="n">
        <v>0</v>
      </c>
      <c r="I216" s="63" t="n">
        <v>140</v>
      </c>
      <c r="J216" s="43" t="n">
        <f aca="false">H216+I216</f>
        <v>140</v>
      </c>
    </row>
    <row r="217" customFormat="false" ht="15" hidden="false" customHeight="false" outlineLevel="0" collapsed="false">
      <c r="A217" s="62" t="n">
        <v>45870</v>
      </c>
      <c r="B217" s="63" t="n">
        <v>0</v>
      </c>
      <c r="C217" s="63" t="n">
        <v>0</v>
      </c>
      <c r="D217" s="63" t="n">
        <v>1</v>
      </c>
      <c r="E217" s="63" t="n">
        <v>0</v>
      </c>
      <c r="F217" s="43" t="n">
        <f aca="false">SUM(B217:E217)</f>
        <v>1</v>
      </c>
      <c r="G217" s="60" t="n">
        <f aca="false">DATE(YEAR(A217),MONTH(A217),1)</f>
        <v>45870</v>
      </c>
      <c r="H217" s="63" t="n">
        <v>0</v>
      </c>
      <c r="I217" s="63" t="n">
        <v>7</v>
      </c>
      <c r="J217" s="43" t="n">
        <f aca="false">H217+I217</f>
        <v>7</v>
      </c>
    </row>
    <row r="218" customFormat="false" ht="15" hidden="false" customHeight="false" outlineLevel="0" collapsed="false">
      <c r="A218" s="62" t="n">
        <v>45871</v>
      </c>
      <c r="B218" s="63" t="n">
        <v>0</v>
      </c>
      <c r="C218" s="63" t="n">
        <v>0</v>
      </c>
      <c r="D218" s="63" t="n">
        <v>1</v>
      </c>
      <c r="E218" s="63" t="n">
        <v>0</v>
      </c>
      <c r="F218" s="43" t="n">
        <f aca="false">SUM(B218:E218)</f>
        <v>1</v>
      </c>
      <c r="G218" s="60" t="n">
        <f aca="false">DATE(YEAR(A218),MONTH(A218),1)</f>
        <v>45870</v>
      </c>
      <c r="H218" s="63" t="n">
        <v>0</v>
      </c>
      <c r="I218" s="63" t="n">
        <v>12</v>
      </c>
      <c r="J218" s="43" t="n">
        <f aca="false">H218+I218</f>
        <v>12</v>
      </c>
    </row>
    <row r="219" customFormat="false" ht="15" hidden="false" customHeight="false" outlineLevel="0" collapsed="false">
      <c r="A219" s="62" t="n">
        <v>45872</v>
      </c>
      <c r="B219" s="63" t="n">
        <v>0</v>
      </c>
      <c r="C219" s="63" t="n">
        <v>0</v>
      </c>
      <c r="D219" s="63" t="n">
        <v>0</v>
      </c>
      <c r="E219" s="63" t="n">
        <v>0</v>
      </c>
      <c r="F219" s="43" t="n">
        <f aca="false">SUM(B219:E219)</f>
        <v>0</v>
      </c>
      <c r="G219" s="60" t="n">
        <f aca="false">DATE(YEAR(A219),MONTH(A219),1)</f>
        <v>45870</v>
      </c>
      <c r="H219" s="63" t="n">
        <v>0</v>
      </c>
      <c r="I219" s="63" t="n">
        <v>2</v>
      </c>
      <c r="J219" s="43" t="n">
        <f aca="false">H219+I219</f>
        <v>2</v>
      </c>
    </row>
    <row r="220" customFormat="false" ht="15" hidden="false" customHeight="false" outlineLevel="0" collapsed="false">
      <c r="A220" s="62" t="n">
        <v>45873</v>
      </c>
      <c r="B220" s="63" t="n">
        <v>0</v>
      </c>
      <c r="C220" s="63" t="n">
        <v>0</v>
      </c>
      <c r="D220" s="63" t="n">
        <v>206</v>
      </c>
      <c r="E220" s="63" t="n">
        <v>0</v>
      </c>
      <c r="F220" s="43" t="n">
        <f aca="false">SUM(B220:E220)</f>
        <v>206</v>
      </c>
      <c r="G220" s="60" t="n">
        <f aca="false">DATE(YEAR(A220),MONTH(A220),1)</f>
        <v>45870</v>
      </c>
      <c r="H220" s="63" t="n">
        <v>0</v>
      </c>
      <c r="I220" s="63" t="n">
        <v>64</v>
      </c>
      <c r="J220" s="43" t="n">
        <f aca="false">H220+I220</f>
        <v>64</v>
      </c>
    </row>
    <row r="221" customFormat="false" ht="15" hidden="false" customHeight="false" outlineLevel="0" collapsed="false">
      <c r="A221" s="62" t="n">
        <v>45874</v>
      </c>
      <c r="B221" s="63" t="n">
        <v>0</v>
      </c>
      <c r="C221" s="63" t="n">
        <v>0</v>
      </c>
      <c r="D221" s="63" t="n">
        <v>305</v>
      </c>
      <c r="E221" s="63" t="n">
        <v>0</v>
      </c>
      <c r="F221" s="43" t="n">
        <f aca="false">SUM(B221:E221)</f>
        <v>305</v>
      </c>
      <c r="G221" s="60" t="n">
        <f aca="false">DATE(YEAR(A221),MONTH(A221),1)</f>
        <v>45870</v>
      </c>
      <c r="H221" s="63" t="n">
        <v>0</v>
      </c>
      <c r="I221" s="63" t="n">
        <v>160</v>
      </c>
      <c r="J221" s="43" t="n">
        <f aca="false">H221+I221</f>
        <v>160</v>
      </c>
    </row>
    <row r="222" customFormat="false" ht="15" hidden="false" customHeight="false" outlineLevel="0" collapsed="false">
      <c r="A222" s="62" t="n">
        <v>45875</v>
      </c>
      <c r="B222" s="63" t="n">
        <v>0</v>
      </c>
      <c r="C222" s="63" t="n">
        <v>0</v>
      </c>
      <c r="D222" s="63" t="n">
        <v>4114</v>
      </c>
      <c r="E222" s="63" t="n">
        <v>0</v>
      </c>
      <c r="F222" s="43" t="n">
        <f aca="false">SUM(B222:E222)</f>
        <v>4114</v>
      </c>
      <c r="G222" s="60" t="n">
        <f aca="false">DATE(YEAR(A222),MONTH(A222),1)</f>
        <v>45870</v>
      </c>
      <c r="H222" s="63" t="n">
        <v>0</v>
      </c>
      <c r="I222" s="63" t="n">
        <v>310</v>
      </c>
      <c r="J222" s="43" t="n">
        <f aca="false">H222+I222</f>
        <v>310</v>
      </c>
    </row>
    <row r="223" customFormat="false" ht="15" hidden="false" customHeight="false" outlineLevel="0" collapsed="false">
      <c r="A223" s="62" t="n">
        <v>45876</v>
      </c>
      <c r="B223" s="63" t="n">
        <v>0</v>
      </c>
      <c r="C223" s="63" t="n">
        <v>0</v>
      </c>
      <c r="D223" s="63" t="n">
        <v>1445</v>
      </c>
      <c r="E223" s="63" t="n">
        <v>0</v>
      </c>
      <c r="F223" s="43" t="n">
        <f aca="false">SUM(B223:E223)</f>
        <v>1445</v>
      </c>
      <c r="G223" s="60" t="n">
        <f aca="false">DATE(YEAR(A223),MONTH(A223),1)</f>
        <v>45870</v>
      </c>
      <c r="H223" s="63" t="n">
        <v>0</v>
      </c>
      <c r="I223" s="63" t="n">
        <v>164</v>
      </c>
      <c r="J223" s="43" t="n">
        <f aca="false">H223+I223</f>
        <v>164</v>
      </c>
    </row>
    <row r="224" customFormat="false" ht="15" hidden="false" customHeight="false" outlineLevel="0" collapsed="false">
      <c r="A224" s="62" t="n">
        <v>45877</v>
      </c>
      <c r="B224" s="63" t="n">
        <v>0</v>
      </c>
      <c r="C224" s="63" t="n">
        <v>0</v>
      </c>
      <c r="D224" s="63" t="n">
        <v>12</v>
      </c>
      <c r="E224" s="63" t="n">
        <v>0</v>
      </c>
      <c r="F224" s="43" t="n">
        <f aca="false">SUM(B224:E224)</f>
        <v>12</v>
      </c>
      <c r="G224" s="60" t="n">
        <f aca="false">DATE(YEAR(A224),MONTH(A224),1)</f>
        <v>45870</v>
      </c>
      <c r="H224" s="63" t="n">
        <v>0</v>
      </c>
      <c r="I224" s="63" t="n">
        <v>30</v>
      </c>
      <c r="J224" s="43" t="n">
        <f aca="false">H224+I224</f>
        <v>30</v>
      </c>
    </row>
    <row r="225" customFormat="false" ht="15" hidden="false" customHeight="false" outlineLevel="0" collapsed="false">
      <c r="A225" s="62" t="n">
        <v>45878</v>
      </c>
      <c r="B225" s="63" t="n">
        <v>0</v>
      </c>
      <c r="C225" s="63" t="n">
        <v>0</v>
      </c>
      <c r="D225" s="63" t="n">
        <v>4</v>
      </c>
      <c r="E225" s="63" t="n">
        <v>0</v>
      </c>
      <c r="F225" s="43" t="n">
        <f aca="false">SUM(B225:E225)</f>
        <v>4</v>
      </c>
      <c r="G225" s="60" t="n">
        <f aca="false">DATE(YEAR(A225),MONTH(A225),1)</f>
        <v>45870</v>
      </c>
      <c r="H225" s="63" t="n">
        <v>0</v>
      </c>
      <c r="I225" s="63" t="n">
        <v>13</v>
      </c>
      <c r="J225" s="43" t="n">
        <f aca="false">H225+I225</f>
        <v>13</v>
      </c>
    </row>
    <row r="226" customFormat="false" ht="15" hidden="false" customHeight="false" outlineLevel="0" collapsed="false">
      <c r="A226" s="62" t="n">
        <v>45879</v>
      </c>
      <c r="B226" s="63" t="n">
        <v>0</v>
      </c>
      <c r="C226" s="63" t="n">
        <v>0</v>
      </c>
      <c r="D226" s="63" t="n">
        <v>0</v>
      </c>
      <c r="E226" s="63" t="n">
        <v>0</v>
      </c>
      <c r="F226" s="43" t="n">
        <f aca="false">SUM(B226:E226)</f>
        <v>0</v>
      </c>
      <c r="G226" s="60" t="n">
        <f aca="false">DATE(YEAR(A226),MONTH(A226),1)</f>
        <v>45870</v>
      </c>
      <c r="H226" s="63" t="n">
        <v>0</v>
      </c>
      <c r="I226" s="63" t="n">
        <v>3</v>
      </c>
      <c r="J226" s="43" t="n">
        <f aca="false">H226+I226</f>
        <v>3</v>
      </c>
    </row>
    <row r="227" customFormat="false" ht="15" hidden="false" customHeight="false" outlineLevel="0" collapsed="false">
      <c r="A227" s="62" t="n">
        <v>45880</v>
      </c>
      <c r="B227" s="63" t="n">
        <v>0</v>
      </c>
      <c r="C227" s="63" t="n">
        <v>0</v>
      </c>
      <c r="D227" s="63" t="n">
        <v>3859</v>
      </c>
      <c r="E227" s="63" t="n">
        <v>0</v>
      </c>
      <c r="F227" s="43" t="n">
        <f aca="false">SUM(B227:E227)</f>
        <v>3859</v>
      </c>
      <c r="G227" s="60" t="n">
        <f aca="false">DATE(YEAR(A227),MONTH(A227),1)</f>
        <v>45870</v>
      </c>
      <c r="H227" s="63" t="n">
        <v>0</v>
      </c>
      <c r="I227" s="63" t="n">
        <v>36</v>
      </c>
      <c r="J227" s="43" t="n">
        <f aca="false">H227+I227</f>
        <v>36</v>
      </c>
    </row>
    <row r="228" customFormat="false" ht="15" hidden="false" customHeight="false" outlineLevel="0" collapsed="false">
      <c r="A228" s="62" t="n">
        <v>45881</v>
      </c>
      <c r="B228" s="63" t="n">
        <v>0</v>
      </c>
      <c r="C228" s="63" t="n">
        <v>0</v>
      </c>
      <c r="D228" s="63" t="n">
        <v>6765</v>
      </c>
      <c r="E228" s="63" t="n">
        <v>0</v>
      </c>
      <c r="F228" s="43" t="n">
        <f aca="false">SUM(B228:E228)</f>
        <v>6765</v>
      </c>
      <c r="G228" s="60" t="n">
        <f aca="false">DATE(YEAR(A228),MONTH(A228),1)</f>
        <v>45870</v>
      </c>
      <c r="H228" s="63" t="n">
        <v>0</v>
      </c>
      <c r="I228" s="63" t="n">
        <v>981</v>
      </c>
      <c r="J228" s="43" t="n">
        <f aca="false">H228+I228</f>
        <v>981</v>
      </c>
    </row>
    <row r="229" customFormat="false" ht="15" hidden="false" customHeight="false" outlineLevel="0" collapsed="false">
      <c r="A229" s="62" t="n">
        <v>45882</v>
      </c>
      <c r="B229" s="63" t="n">
        <v>0</v>
      </c>
      <c r="C229" s="63" t="n">
        <v>0</v>
      </c>
      <c r="D229" s="63" t="n">
        <v>118</v>
      </c>
      <c r="E229" s="63" t="n">
        <v>0</v>
      </c>
      <c r="F229" s="43" t="n">
        <f aca="false">SUM(B229:E229)</f>
        <v>118</v>
      </c>
      <c r="G229" s="60" t="n">
        <f aca="false">DATE(YEAR(A229),MONTH(A229),1)</f>
        <v>45870</v>
      </c>
      <c r="H229" s="63" t="n">
        <v>0</v>
      </c>
      <c r="I229" s="63" t="n">
        <v>128</v>
      </c>
      <c r="J229" s="43" t="n">
        <f aca="false">H229+I229</f>
        <v>128</v>
      </c>
    </row>
    <row r="230" customFormat="false" ht="15" hidden="false" customHeight="false" outlineLevel="0" collapsed="false">
      <c r="A230" s="62" t="n">
        <v>45883</v>
      </c>
      <c r="B230" s="63" t="n">
        <v>0</v>
      </c>
      <c r="C230" s="63" t="n">
        <v>0</v>
      </c>
      <c r="D230" s="63" t="n">
        <v>1111</v>
      </c>
      <c r="E230" s="63" t="n">
        <v>0</v>
      </c>
      <c r="F230" s="43" t="n">
        <f aca="false">SUM(B230:E230)</f>
        <v>1111</v>
      </c>
      <c r="G230" s="60" t="n">
        <f aca="false">DATE(YEAR(A230),MONTH(A230),1)</f>
        <v>45870</v>
      </c>
      <c r="H230" s="63" t="n">
        <v>0</v>
      </c>
      <c r="I230" s="63" t="n">
        <v>114</v>
      </c>
      <c r="J230" s="43" t="n">
        <f aca="false">H230+I230</f>
        <v>114</v>
      </c>
    </row>
    <row r="231" customFormat="false" ht="15" hidden="false" customHeight="false" outlineLevel="0" collapsed="false">
      <c r="A231" s="62" t="n">
        <v>45884</v>
      </c>
      <c r="B231" s="63" t="n">
        <v>0</v>
      </c>
      <c r="C231" s="63" t="n">
        <v>0</v>
      </c>
      <c r="D231" s="63" t="n">
        <v>3419</v>
      </c>
      <c r="E231" s="63" t="n">
        <v>0</v>
      </c>
      <c r="F231" s="43" t="n">
        <f aca="false">SUM(B231:E231)</f>
        <v>3419</v>
      </c>
      <c r="G231" s="60" t="n">
        <f aca="false">DATE(YEAR(A231),MONTH(A231),1)</f>
        <v>45870</v>
      </c>
      <c r="H231" s="63" t="n">
        <v>0</v>
      </c>
      <c r="I231" s="63" t="n">
        <v>206</v>
      </c>
      <c r="J231" s="43" t="n">
        <f aca="false">H231+I231</f>
        <v>206</v>
      </c>
    </row>
    <row r="232" customFormat="false" ht="15" hidden="false" customHeight="false" outlineLevel="0" collapsed="false">
      <c r="A232" s="62" t="n">
        <v>45885</v>
      </c>
      <c r="B232" s="63" t="n">
        <v>0</v>
      </c>
      <c r="C232" s="63" t="n">
        <v>0</v>
      </c>
      <c r="D232" s="63" t="n">
        <v>7</v>
      </c>
      <c r="E232" s="63" t="n">
        <v>0</v>
      </c>
      <c r="F232" s="43" t="n">
        <f aca="false">SUM(B232:E232)</f>
        <v>7</v>
      </c>
      <c r="G232" s="60" t="n">
        <f aca="false">DATE(YEAR(A232),MONTH(A232),1)</f>
        <v>45870</v>
      </c>
      <c r="H232" s="63" t="n">
        <v>0</v>
      </c>
      <c r="I232" s="63" t="n">
        <v>2</v>
      </c>
      <c r="J232" s="43" t="n">
        <f aca="false">H232+I232</f>
        <v>2</v>
      </c>
    </row>
    <row r="233" customFormat="false" ht="15" hidden="false" customHeight="false" outlineLevel="0" collapsed="false">
      <c r="A233" s="62" t="n">
        <v>45886</v>
      </c>
      <c r="B233" s="63" t="n">
        <v>0</v>
      </c>
      <c r="C233" s="63" t="n">
        <v>0</v>
      </c>
      <c r="D233" s="63" t="n">
        <v>3</v>
      </c>
      <c r="E233" s="63" t="n">
        <v>0</v>
      </c>
      <c r="F233" s="43" t="n">
        <f aca="false">SUM(B233:E233)</f>
        <v>3</v>
      </c>
      <c r="G233" s="60" t="n">
        <f aca="false">DATE(YEAR(A233),MONTH(A233),1)</f>
        <v>45870</v>
      </c>
      <c r="H233" s="63" t="n">
        <v>0</v>
      </c>
      <c r="I233" s="63" t="n">
        <v>9</v>
      </c>
      <c r="J233" s="43" t="n">
        <f aca="false">H233+I233</f>
        <v>9</v>
      </c>
    </row>
    <row r="234" customFormat="false" ht="15" hidden="false" customHeight="false" outlineLevel="0" collapsed="false">
      <c r="A234" s="62" t="n">
        <v>45887</v>
      </c>
      <c r="B234" s="63" t="n">
        <v>0</v>
      </c>
      <c r="C234" s="63" t="n">
        <v>0</v>
      </c>
      <c r="D234" s="63" t="n">
        <v>9</v>
      </c>
      <c r="E234" s="63" t="n">
        <v>0</v>
      </c>
      <c r="F234" s="43" t="n">
        <f aca="false">SUM(B234:E234)</f>
        <v>9</v>
      </c>
      <c r="G234" s="60" t="n">
        <f aca="false">DATE(YEAR(A234),MONTH(A234),1)</f>
        <v>45870</v>
      </c>
      <c r="H234" s="63" t="n">
        <v>0</v>
      </c>
      <c r="I234" s="63" t="n">
        <v>23</v>
      </c>
      <c r="J234" s="43" t="n">
        <f aca="false">H234+I234</f>
        <v>23</v>
      </c>
    </row>
    <row r="235" customFormat="false" ht="15" hidden="false" customHeight="false" outlineLevel="0" collapsed="false">
      <c r="A235" s="62" t="n">
        <v>45888</v>
      </c>
      <c r="B235" s="63" t="n">
        <v>0</v>
      </c>
      <c r="C235" s="63" t="n">
        <v>0</v>
      </c>
      <c r="D235" s="63" t="n">
        <v>743</v>
      </c>
      <c r="E235" s="63" t="n">
        <v>0</v>
      </c>
      <c r="F235" s="43" t="n">
        <f aca="false">SUM(B235:E235)</f>
        <v>743</v>
      </c>
      <c r="G235" s="60" t="n">
        <f aca="false">DATE(YEAR(A235),MONTH(A235),1)</f>
        <v>45870</v>
      </c>
      <c r="H235" s="63" t="n">
        <v>0</v>
      </c>
      <c r="I235" s="63" t="n">
        <v>88</v>
      </c>
      <c r="J235" s="43" t="n">
        <f aca="false">H235+I235</f>
        <v>88</v>
      </c>
    </row>
    <row r="236" customFormat="false" ht="15" hidden="false" customHeight="false" outlineLevel="0" collapsed="false">
      <c r="A236" s="62" t="n">
        <v>45889</v>
      </c>
      <c r="B236" s="63" t="n">
        <v>0</v>
      </c>
      <c r="C236" s="63" t="n">
        <v>0</v>
      </c>
      <c r="D236" s="63" t="n">
        <v>407</v>
      </c>
      <c r="E236" s="63" t="n">
        <v>0</v>
      </c>
      <c r="F236" s="43" t="n">
        <f aca="false">SUM(B236:E236)</f>
        <v>407</v>
      </c>
      <c r="G236" s="60" t="n">
        <f aca="false">DATE(YEAR(A236),MONTH(A236),1)</f>
        <v>45870</v>
      </c>
      <c r="H236" s="63" t="n">
        <v>0</v>
      </c>
      <c r="I236" s="63" t="n">
        <v>905</v>
      </c>
      <c r="J236" s="43" t="n">
        <f aca="false">H236+I236</f>
        <v>905</v>
      </c>
    </row>
    <row r="237" customFormat="false" ht="15" hidden="false" customHeight="false" outlineLevel="0" collapsed="false">
      <c r="A237" s="62" t="n">
        <v>45890</v>
      </c>
      <c r="B237" s="63" t="n">
        <v>0</v>
      </c>
      <c r="C237" s="63" t="n">
        <v>0</v>
      </c>
      <c r="D237" s="63" t="n">
        <v>2642</v>
      </c>
      <c r="E237" s="63" t="n">
        <v>0</v>
      </c>
      <c r="F237" s="43" t="n">
        <f aca="false">SUM(B237:E237)</f>
        <v>2642</v>
      </c>
      <c r="G237" s="60" t="n">
        <f aca="false">DATE(YEAR(A237),MONTH(A237),1)</f>
        <v>45870</v>
      </c>
      <c r="H237" s="63" t="n">
        <v>0</v>
      </c>
      <c r="I237" s="63" t="n">
        <v>587</v>
      </c>
      <c r="J237" s="43" t="n">
        <f aca="false">H237+I237</f>
        <v>587</v>
      </c>
    </row>
    <row r="238" customFormat="false" ht="15" hidden="false" customHeight="false" outlineLevel="0" collapsed="false">
      <c r="A238" s="62" t="n">
        <v>45891</v>
      </c>
      <c r="B238" s="63" t="n">
        <v>0</v>
      </c>
      <c r="C238" s="63" t="n">
        <v>0</v>
      </c>
      <c r="D238" s="63" t="n">
        <v>73</v>
      </c>
      <c r="E238" s="63" t="n">
        <v>0</v>
      </c>
      <c r="F238" s="43" t="n">
        <f aca="false">SUM(B238:E238)</f>
        <v>73</v>
      </c>
      <c r="G238" s="60" t="n">
        <f aca="false">DATE(YEAR(A238),MONTH(A238),1)</f>
        <v>45870</v>
      </c>
      <c r="H238" s="63" t="n">
        <v>0</v>
      </c>
      <c r="I238" s="63" t="n">
        <v>132</v>
      </c>
      <c r="J238" s="43" t="n">
        <f aca="false">H238+I238</f>
        <v>132</v>
      </c>
    </row>
    <row r="239" customFormat="false" ht="15" hidden="false" customHeight="false" outlineLevel="0" collapsed="false">
      <c r="A239" s="62" t="n">
        <v>45892</v>
      </c>
      <c r="B239" s="63" t="n">
        <v>0</v>
      </c>
      <c r="C239" s="63" t="n">
        <v>0</v>
      </c>
      <c r="D239" s="63" t="n">
        <v>0</v>
      </c>
      <c r="E239" s="63" t="n">
        <v>0</v>
      </c>
      <c r="F239" s="43" t="n">
        <f aca="false">SUM(B239:E239)</f>
        <v>0</v>
      </c>
      <c r="G239" s="60" t="n">
        <f aca="false">DATE(YEAR(A239),MONTH(A239),1)</f>
        <v>45870</v>
      </c>
      <c r="H239" s="63" t="n">
        <v>0</v>
      </c>
      <c r="I239" s="63" t="n">
        <v>10</v>
      </c>
      <c r="J239" s="43" t="n">
        <f aca="false">H239+I239</f>
        <v>10</v>
      </c>
    </row>
    <row r="240" customFormat="false" ht="15" hidden="false" customHeight="false" outlineLevel="0" collapsed="false">
      <c r="A240" s="62" t="n">
        <v>45893</v>
      </c>
      <c r="B240" s="63" t="n">
        <v>0</v>
      </c>
      <c r="C240" s="63" t="n">
        <v>0</v>
      </c>
      <c r="D240" s="63" t="n">
        <v>0</v>
      </c>
      <c r="E240" s="63" t="n">
        <v>0</v>
      </c>
      <c r="F240" s="43" t="n">
        <f aca="false">SUM(B240:E240)</f>
        <v>0</v>
      </c>
      <c r="G240" s="60" t="n">
        <f aca="false">DATE(YEAR(A240),MONTH(A240),1)</f>
        <v>45870</v>
      </c>
      <c r="H240" s="63" t="n">
        <v>0</v>
      </c>
      <c r="I240" s="63" t="n">
        <v>1</v>
      </c>
      <c r="J240" s="43" t="n">
        <f aca="false">H240+I240</f>
        <v>1</v>
      </c>
    </row>
    <row r="241" customFormat="false" ht="15" hidden="false" customHeight="false" outlineLevel="0" collapsed="false">
      <c r="A241" s="62" t="n">
        <v>45894</v>
      </c>
      <c r="B241" s="63" t="n">
        <v>0</v>
      </c>
      <c r="C241" s="63" t="n">
        <v>0</v>
      </c>
      <c r="D241" s="63" t="n">
        <v>2538</v>
      </c>
      <c r="E241" s="63" t="n">
        <v>0</v>
      </c>
      <c r="F241" s="43" t="n">
        <f aca="false">SUM(B241:E241)</f>
        <v>2538</v>
      </c>
      <c r="G241" s="60" t="n">
        <f aca="false">DATE(YEAR(A241),MONTH(A241),1)</f>
        <v>45870</v>
      </c>
      <c r="H241" s="63" t="n">
        <v>0</v>
      </c>
      <c r="I241" s="63" t="n">
        <v>88</v>
      </c>
      <c r="J241" s="43" t="n">
        <f aca="false">H241+I241</f>
        <v>88</v>
      </c>
    </row>
    <row r="242" customFormat="false" ht="15" hidden="false" customHeight="false" outlineLevel="0" collapsed="false">
      <c r="A242" s="62" t="n">
        <v>45895</v>
      </c>
      <c r="B242" s="63" t="n">
        <v>0</v>
      </c>
      <c r="C242" s="63" t="n">
        <v>0</v>
      </c>
      <c r="D242" s="63" t="n">
        <v>1160</v>
      </c>
      <c r="E242" s="63" t="n">
        <v>0</v>
      </c>
      <c r="F242" s="43" t="n">
        <f aca="false">SUM(B242:E242)</f>
        <v>1160</v>
      </c>
      <c r="G242" s="60" t="n">
        <f aca="false">DATE(YEAR(A242),MONTH(A242),1)</f>
        <v>45870</v>
      </c>
      <c r="H242" s="63" t="n">
        <v>0</v>
      </c>
      <c r="I242" s="63" t="n">
        <v>106</v>
      </c>
      <c r="J242" s="43" t="n">
        <f aca="false">H242+I242</f>
        <v>106</v>
      </c>
    </row>
    <row r="243" customFormat="false" ht="15" hidden="false" customHeight="false" outlineLevel="0" collapsed="false">
      <c r="A243" s="62" t="n">
        <v>45896</v>
      </c>
      <c r="B243" s="63" t="n">
        <v>0</v>
      </c>
      <c r="C243" s="63" t="n">
        <v>0</v>
      </c>
      <c r="D243" s="63" t="n">
        <v>176</v>
      </c>
      <c r="E243" s="63" t="n">
        <v>0</v>
      </c>
      <c r="F243" s="43" t="n">
        <f aca="false">SUM(B243:E243)</f>
        <v>176</v>
      </c>
      <c r="G243" s="60" t="n">
        <f aca="false">DATE(YEAR(A243),MONTH(A243),1)</f>
        <v>45870</v>
      </c>
      <c r="H243" s="63" t="n">
        <v>0</v>
      </c>
      <c r="I243" s="63" t="n">
        <v>70</v>
      </c>
      <c r="J243" s="43" t="n">
        <f aca="false">H243+I243</f>
        <v>70</v>
      </c>
    </row>
    <row r="244" customFormat="false" ht="15" hidden="false" customHeight="false" outlineLevel="0" collapsed="false">
      <c r="A244" s="62" t="n">
        <v>45897</v>
      </c>
      <c r="B244" s="63" t="n">
        <v>0</v>
      </c>
      <c r="C244" s="63" t="n">
        <v>0</v>
      </c>
      <c r="D244" s="63" t="n">
        <v>294</v>
      </c>
      <c r="E244" s="63" t="n">
        <v>0</v>
      </c>
      <c r="F244" s="43" t="n">
        <f aca="false">SUM(B244:E244)</f>
        <v>294</v>
      </c>
      <c r="G244" s="60" t="n">
        <f aca="false">DATE(YEAR(A244),MONTH(A244),1)</f>
        <v>45870</v>
      </c>
      <c r="H244" s="63" t="n">
        <v>0</v>
      </c>
      <c r="I244" s="63" t="n">
        <v>37</v>
      </c>
      <c r="J244" s="43" t="n">
        <f aca="false">H244+I244</f>
        <v>37</v>
      </c>
    </row>
    <row r="245" customFormat="false" ht="15" hidden="false" customHeight="false" outlineLevel="0" collapsed="false">
      <c r="A245" s="62" t="n">
        <v>45898</v>
      </c>
      <c r="B245" s="63" t="n">
        <v>0</v>
      </c>
      <c r="C245" s="63" t="n">
        <v>0</v>
      </c>
      <c r="D245" s="63" t="n">
        <v>1</v>
      </c>
      <c r="E245" s="63" t="n">
        <v>0</v>
      </c>
      <c r="F245" s="43" t="n">
        <f aca="false">SUM(B245:E245)</f>
        <v>1</v>
      </c>
      <c r="G245" s="60" t="n">
        <f aca="false">DATE(YEAR(A245),MONTH(A245),1)</f>
        <v>45870</v>
      </c>
      <c r="H245" s="63" t="n">
        <v>0</v>
      </c>
      <c r="I245" s="63" t="n">
        <v>10</v>
      </c>
      <c r="J245" s="43" t="n">
        <f aca="false">H245+I245</f>
        <v>10</v>
      </c>
    </row>
    <row r="246" customFormat="false" ht="15" hidden="false" customHeight="false" outlineLevel="0" collapsed="false">
      <c r="A246" s="62" t="n">
        <v>45899</v>
      </c>
      <c r="B246" s="63" t="n">
        <v>0</v>
      </c>
      <c r="C246" s="63" t="n">
        <v>0</v>
      </c>
      <c r="D246" s="63" t="n">
        <v>4</v>
      </c>
      <c r="E246" s="63" t="n">
        <v>0</v>
      </c>
      <c r="F246" s="43" t="n">
        <f aca="false">SUM(B246:E246)</f>
        <v>4</v>
      </c>
      <c r="G246" s="60" t="n">
        <f aca="false">DATE(YEAR(A246),MONTH(A246),1)</f>
        <v>45870</v>
      </c>
      <c r="H246" s="63" t="n">
        <v>0</v>
      </c>
      <c r="I246" s="63" t="n">
        <v>2</v>
      </c>
      <c r="J246" s="43" t="n">
        <f aca="false">H246+I246</f>
        <v>2</v>
      </c>
    </row>
    <row r="247" customFormat="false" ht="15" hidden="false" customHeight="false" outlineLevel="0" collapsed="false">
      <c r="A247" s="62" t="n">
        <v>45900</v>
      </c>
      <c r="B247" s="63" t="n">
        <v>0</v>
      </c>
      <c r="C247" s="63" t="n">
        <v>0</v>
      </c>
      <c r="D247" s="63" t="n">
        <v>2</v>
      </c>
      <c r="E247" s="63" t="n">
        <v>0</v>
      </c>
      <c r="F247" s="43" t="n">
        <f aca="false">SUM(B247:E247)</f>
        <v>2</v>
      </c>
      <c r="G247" s="60" t="n">
        <f aca="false">DATE(YEAR(A247),MONTH(A247),1)</f>
        <v>45870</v>
      </c>
      <c r="H247" s="63" t="n">
        <v>0</v>
      </c>
      <c r="I247" s="63" t="n">
        <v>2</v>
      </c>
      <c r="J247" s="43" t="n">
        <f aca="false">H247+I247</f>
        <v>2</v>
      </c>
    </row>
    <row r="248" customFormat="false" ht="15" hidden="false" customHeight="false" outlineLevel="0" collapsed="false">
      <c r="A248" s="62" t="n">
        <v>45901</v>
      </c>
      <c r="B248" s="63" t="n">
        <v>0</v>
      </c>
      <c r="C248" s="63" t="n">
        <v>0</v>
      </c>
      <c r="D248" s="63" t="n">
        <v>2</v>
      </c>
      <c r="E248" s="63" t="n">
        <v>0</v>
      </c>
      <c r="F248" s="43" t="n">
        <f aca="false">SUM(B248:E248)</f>
        <v>2</v>
      </c>
      <c r="G248" s="60" t="n">
        <f aca="false">DATE(YEAR(A248),MONTH(A248),1)</f>
        <v>45901</v>
      </c>
      <c r="H248" s="63" t="n">
        <v>0</v>
      </c>
      <c r="I248" s="63" t="n">
        <v>2</v>
      </c>
      <c r="J248" s="43" t="n">
        <f aca="false">H248+I248</f>
        <v>2</v>
      </c>
    </row>
    <row r="249" customFormat="false" ht="15" hidden="false" customHeight="false" outlineLevel="0" collapsed="false">
      <c r="A249" s="62" t="n">
        <v>45902</v>
      </c>
      <c r="B249" s="63" t="n">
        <v>0</v>
      </c>
      <c r="C249" s="63" t="n">
        <v>0</v>
      </c>
      <c r="D249" s="63" t="n">
        <v>152</v>
      </c>
      <c r="E249" s="63" t="n">
        <v>0</v>
      </c>
      <c r="F249" s="43" t="n">
        <f aca="false">SUM(B249:E249)</f>
        <v>152</v>
      </c>
      <c r="G249" s="60" t="n">
        <f aca="false">DATE(YEAR(A249),MONTH(A249),1)</f>
        <v>45901</v>
      </c>
      <c r="H249" s="63" t="n">
        <v>0</v>
      </c>
      <c r="I249" s="63" t="n">
        <v>61</v>
      </c>
      <c r="J249" s="43" t="n">
        <f aca="false">H249+I249</f>
        <v>61</v>
      </c>
    </row>
    <row r="250" customFormat="false" ht="15" hidden="false" customHeight="false" outlineLevel="0" collapsed="false">
      <c r="A250" s="62" t="n">
        <v>45903</v>
      </c>
      <c r="B250" s="63" t="n">
        <v>0</v>
      </c>
      <c r="C250" s="63" t="n">
        <v>0</v>
      </c>
      <c r="D250" s="63" t="n">
        <v>3383</v>
      </c>
      <c r="E250" s="63" t="n">
        <v>0</v>
      </c>
      <c r="F250" s="43" t="n">
        <f aca="false">SUM(B250:E250)</f>
        <v>3383</v>
      </c>
      <c r="G250" s="60" t="n">
        <f aca="false">DATE(YEAR(A250),MONTH(A250),1)</f>
        <v>45901</v>
      </c>
      <c r="H250" s="63" t="n">
        <v>0</v>
      </c>
      <c r="I250" s="63" t="n">
        <v>260</v>
      </c>
      <c r="J250" s="43" t="n">
        <f aca="false">H250+I250</f>
        <v>260</v>
      </c>
    </row>
    <row r="251" customFormat="false" ht="15" hidden="false" customHeight="false" outlineLevel="0" collapsed="false">
      <c r="A251" s="62" t="n">
        <v>45904</v>
      </c>
      <c r="B251" s="63" t="n">
        <v>0</v>
      </c>
      <c r="C251" s="63" t="n">
        <v>0</v>
      </c>
      <c r="D251" s="63" t="n">
        <v>2196</v>
      </c>
      <c r="E251" s="63" t="n">
        <v>0</v>
      </c>
      <c r="F251" s="43" t="n">
        <f aca="false">SUM(B251:E251)</f>
        <v>2196</v>
      </c>
      <c r="G251" s="60" t="n">
        <f aca="false">DATE(YEAR(A251),MONTH(A251),1)</f>
        <v>45901</v>
      </c>
      <c r="H251" s="63" t="n">
        <v>0</v>
      </c>
      <c r="I251" s="63" t="n">
        <v>211</v>
      </c>
      <c r="J251" s="43" t="n">
        <f aca="false">H251+I251</f>
        <v>211</v>
      </c>
    </row>
    <row r="252" customFormat="false" ht="15" hidden="false" customHeight="false" outlineLevel="0" collapsed="false">
      <c r="A252" s="62" t="n">
        <v>45905</v>
      </c>
      <c r="B252" s="63" t="n">
        <v>0</v>
      </c>
      <c r="C252" s="63" t="n">
        <v>0</v>
      </c>
      <c r="D252" s="63" t="n">
        <v>238</v>
      </c>
      <c r="E252" s="63" t="n">
        <v>0</v>
      </c>
      <c r="F252" s="43" t="n">
        <f aca="false">SUM(B252:E252)</f>
        <v>238</v>
      </c>
      <c r="G252" s="60" t="n">
        <f aca="false">DATE(YEAR(A252),MONTH(A252),1)</f>
        <v>45901</v>
      </c>
      <c r="H252" s="63" t="n">
        <v>0</v>
      </c>
      <c r="I252" s="63" t="n">
        <v>43</v>
      </c>
      <c r="J252" s="43" t="n">
        <f aca="false">H252+I252</f>
        <v>43</v>
      </c>
    </row>
    <row r="253" customFormat="false" ht="15" hidden="false" customHeight="false" outlineLevel="0" collapsed="false">
      <c r="A253" s="62" t="n">
        <v>45906</v>
      </c>
      <c r="B253" s="63" t="n">
        <v>0</v>
      </c>
      <c r="C253" s="63" t="n">
        <v>0</v>
      </c>
      <c r="D253" s="63" t="n">
        <v>1</v>
      </c>
      <c r="E253" s="63" t="n">
        <v>0</v>
      </c>
      <c r="F253" s="43" t="n">
        <f aca="false">SUM(B253:E253)</f>
        <v>1</v>
      </c>
      <c r="G253" s="60" t="n">
        <f aca="false">DATE(YEAR(A253),MONTH(A253),1)</f>
        <v>45901</v>
      </c>
      <c r="H253" s="63" t="n">
        <v>0</v>
      </c>
      <c r="I253" s="63" t="n">
        <v>1</v>
      </c>
      <c r="J253" s="43" t="n">
        <f aca="false">H253+I253</f>
        <v>1</v>
      </c>
    </row>
    <row r="254" customFormat="false" ht="15" hidden="false" customHeight="false" outlineLevel="0" collapsed="false">
      <c r="A254" s="62" t="n">
        <v>45907</v>
      </c>
      <c r="B254" s="63" t="n">
        <v>0</v>
      </c>
      <c r="C254" s="63" t="n">
        <v>0</v>
      </c>
      <c r="D254" s="63" t="n">
        <v>1</v>
      </c>
      <c r="E254" s="63" t="n">
        <v>0</v>
      </c>
      <c r="F254" s="43" t="n">
        <f aca="false">SUM(B254:E254)</f>
        <v>1</v>
      </c>
      <c r="G254" s="60" t="n">
        <f aca="false">DATE(YEAR(A254),MONTH(A254),1)</f>
        <v>45901</v>
      </c>
      <c r="H254" s="63" t="n">
        <v>0</v>
      </c>
      <c r="I254" s="63" t="n">
        <v>0</v>
      </c>
      <c r="J254" s="43" t="n">
        <f aca="false">H254+I254</f>
        <v>0</v>
      </c>
    </row>
    <row r="255" customFormat="false" ht="15" hidden="false" customHeight="false" outlineLevel="0" collapsed="false">
      <c r="A255" s="62" t="n">
        <v>45908</v>
      </c>
      <c r="B255" s="63" t="n">
        <v>0</v>
      </c>
      <c r="C255" s="63" t="n">
        <v>0</v>
      </c>
      <c r="D255" s="63" t="n">
        <v>33</v>
      </c>
      <c r="E255" s="63" t="n">
        <v>0</v>
      </c>
      <c r="F255" s="43" t="n">
        <f aca="false">SUM(B255:E255)</f>
        <v>33</v>
      </c>
      <c r="G255" s="60" t="n">
        <f aca="false">DATE(YEAR(A255),MONTH(A255),1)</f>
        <v>45901</v>
      </c>
      <c r="H255" s="63" t="n">
        <v>0</v>
      </c>
      <c r="I255" s="63" t="n">
        <v>20</v>
      </c>
      <c r="J255" s="43" t="n">
        <f aca="false">H255+I255</f>
        <v>20</v>
      </c>
    </row>
    <row r="256" customFormat="false" ht="15" hidden="false" customHeight="false" outlineLevel="0" collapsed="false">
      <c r="A256" s="62" t="n">
        <v>45909</v>
      </c>
      <c r="B256" s="63" t="n">
        <v>0</v>
      </c>
      <c r="C256" s="63" t="n">
        <v>0</v>
      </c>
      <c r="D256" s="63" t="n">
        <v>331</v>
      </c>
      <c r="E256" s="63" t="n">
        <v>0</v>
      </c>
      <c r="F256" s="43" t="n">
        <f aca="false">SUM(B256:E256)</f>
        <v>331</v>
      </c>
      <c r="G256" s="60" t="n">
        <f aca="false">DATE(YEAR(A256),MONTH(A256),1)</f>
        <v>45901</v>
      </c>
      <c r="H256" s="63" t="n">
        <v>0</v>
      </c>
      <c r="I256" s="63" t="n">
        <v>48</v>
      </c>
      <c r="J256" s="43" t="n">
        <f aca="false">H256+I256</f>
        <v>48</v>
      </c>
    </row>
    <row r="257" customFormat="false" ht="15" hidden="false" customHeight="false" outlineLevel="0" collapsed="false">
      <c r="A257" s="62" t="n">
        <v>45910</v>
      </c>
      <c r="B257" s="63" t="n">
        <v>0</v>
      </c>
      <c r="C257" s="63" t="n">
        <v>0</v>
      </c>
      <c r="D257" s="63" t="n">
        <v>1228</v>
      </c>
      <c r="E257" s="63" t="n">
        <v>0</v>
      </c>
      <c r="F257" s="43" t="n">
        <f aca="false">SUM(B257:E257)</f>
        <v>1228</v>
      </c>
      <c r="G257" s="60" t="n">
        <f aca="false">DATE(YEAR(A257),MONTH(A257),1)</f>
        <v>45901</v>
      </c>
      <c r="H257" s="63" t="n">
        <v>0</v>
      </c>
      <c r="I257" s="63" t="n">
        <v>134</v>
      </c>
      <c r="J257" s="43" t="n">
        <f aca="false">H257+I257</f>
        <v>134</v>
      </c>
    </row>
    <row r="258" customFormat="false" ht="15" hidden="false" customHeight="false" outlineLevel="0" collapsed="false">
      <c r="A258" s="62" t="n">
        <v>45911</v>
      </c>
      <c r="B258" s="63" t="n">
        <v>0</v>
      </c>
      <c r="C258" s="63" t="n">
        <v>0</v>
      </c>
      <c r="D258" s="63" t="n">
        <v>3853</v>
      </c>
      <c r="E258" s="63" t="n">
        <v>0</v>
      </c>
      <c r="F258" s="43" t="n">
        <f aca="false">SUM(B258:E258)</f>
        <v>3853</v>
      </c>
      <c r="G258" s="60" t="n">
        <f aca="false">DATE(YEAR(A258),MONTH(A258),1)</f>
        <v>45901</v>
      </c>
      <c r="H258" s="63" t="n">
        <v>0</v>
      </c>
      <c r="I258" s="63" t="n">
        <v>384</v>
      </c>
      <c r="J258" s="43" t="n">
        <f aca="false">H258+I258</f>
        <v>384</v>
      </c>
    </row>
    <row r="259" customFormat="false" ht="15" hidden="false" customHeight="false" outlineLevel="0" collapsed="false">
      <c r="A259" s="62" t="n">
        <v>45912</v>
      </c>
      <c r="B259" s="63" t="n">
        <v>0</v>
      </c>
      <c r="C259" s="63" t="n">
        <v>0</v>
      </c>
      <c r="D259" s="63" t="n">
        <v>122</v>
      </c>
      <c r="E259" s="63" t="n">
        <v>0</v>
      </c>
      <c r="F259" s="43" t="n">
        <f aca="false">SUM(B259:E259)</f>
        <v>122</v>
      </c>
      <c r="G259" s="60" t="n">
        <f aca="false">DATE(YEAR(A259),MONTH(A259),1)</f>
        <v>45901</v>
      </c>
      <c r="H259" s="63" t="n">
        <v>0</v>
      </c>
      <c r="I259" s="63" t="n">
        <v>103</v>
      </c>
      <c r="J259" s="43" t="n">
        <f aca="false">H259+I259</f>
        <v>103</v>
      </c>
    </row>
    <row r="260" customFormat="false" ht="15" hidden="false" customHeight="false" outlineLevel="0" collapsed="false">
      <c r="A260" s="62" t="n">
        <v>45913</v>
      </c>
      <c r="B260" s="63" t="n">
        <v>0</v>
      </c>
      <c r="C260" s="63" t="n">
        <v>0</v>
      </c>
      <c r="D260" s="63" t="n">
        <v>5</v>
      </c>
      <c r="E260" s="63" t="n">
        <v>0</v>
      </c>
      <c r="F260" s="43" t="n">
        <f aca="false">SUM(B260:E260)</f>
        <v>5</v>
      </c>
      <c r="G260" s="60" t="n">
        <f aca="false">DATE(YEAR(A260),MONTH(A260),1)</f>
        <v>45901</v>
      </c>
      <c r="H260" s="63" t="n">
        <v>0</v>
      </c>
      <c r="I260" s="63" t="n">
        <v>11</v>
      </c>
      <c r="J260" s="43" t="n">
        <f aca="false">H260+I260</f>
        <v>11</v>
      </c>
    </row>
    <row r="261" customFormat="false" ht="15" hidden="false" customHeight="false" outlineLevel="0" collapsed="false">
      <c r="A261" s="62" t="n">
        <v>45914</v>
      </c>
      <c r="B261" s="63" t="n">
        <v>0</v>
      </c>
      <c r="C261" s="63" t="n">
        <v>0</v>
      </c>
      <c r="D261" s="63" t="n">
        <v>1</v>
      </c>
      <c r="E261" s="63" t="n">
        <v>0</v>
      </c>
      <c r="F261" s="43" t="n">
        <f aca="false">SUM(B261:E261)</f>
        <v>1</v>
      </c>
      <c r="G261" s="60" t="n">
        <f aca="false">DATE(YEAR(A261),MONTH(A261),1)</f>
        <v>45901</v>
      </c>
      <c r="H261" s="63" t="n">
        <v>0</v>
      </c>
      <c r="I261" s="63" t="n">
        <v>1</v>
      </c>
      <c r="J261" s="43" t="n">
        <f aca="false">H261+I261</f>
        <v>1</v>
      </c>
    </row>
    <row r="262" customFormat="false" ht="15" hidden="false" customHeight="false" outlineLevel="0" collapsed="false">
      <c r="A262" s="62" t="n">
        <v>45915</v>
      </c>
      <c r="B262" s="63" t="n">
        <v>0</v>
      </c>
      <c r="C262" s="63" t="n">
        <v>0</v>
      </c>
      <c r="D262" s="63" t="n">
        <v>15479</v>
      </c>
      <c r="E262" s="63" t="n">
        <v>0</v>
      </c>
      <c r="F262" s="43" t="n">
        <f aca="false">SUM(B262:E262)</f>
        <v>15479</v>
      </c>
      <c r="G262" s="60" t="n">
        <f aca="false">DATE(YEAR(A262),MONTH(A262),1)</f>
        <v>45901</v>
      </c>
      <c r="H262" s="63" t="n">
        <v>0</v>
      </c>
      <c r="I262" s="63" t="n">
        <v>730</v>
      </c>
      <c r="J262" s="43" t="n">
        <f aca="false">H262+I262</f>
        <v>730</v>
      </c>
    </row>
    <row r="263" customFormat="false" ht="15" hidden="false" customHeight="false" outlineLevel="0" collapsed="false">
      <c r="A263" s="62" t="n">
        <v>45916</v>
      </c>
      <c r="B263" s="63" t="n">
        <v>0</v>
      </c>
      <c r="C263" s="63" t="n">
        <v>0</v>
      </c>
      <c r="D263" s="63" t="n">
        <v>32</v>
      </c>
      <c r="E263" s="63" t="n">
        <v>0</v>
      </c>
      <c r="F263" s="43" t="n">
        <f aca="false">SUM(B263:E263)</f>
        <v>32</v>
      </c>
      <c r="G263" s="60" t="n">
        <f aca="false">DATE(YEAR(A263),MONTH(A263),1)</f>
        <v>45901</v>
      </c>
      <c r="H263" s="63" t="n">
        <v>0</v>
      </c>
      <c r="I263" s="63" t="n">
        <v>425</v>
      </c>
      <c r="J263" s="43" t="n">
        <f aca="false">H263+I263</f>
        <v>425</v>
      </c>
    </row>
    <row r="264" customFormat="false" ht="15" hidden="false" customHeight="false" outlineLevel="0" collapsed="false">
      <c r="A264" s="62" t="n">
        <v>45917</v>
      </c>
      <c r="B264" s="63" t="n">
        <v>0</v>
      </c>
      <c r="C264" s="63" t="n">
        <v>0</v>
      </c>
      <c r="D264" s="63" t="n">
        <v>528</v>
      </c>
      <c r="E264" s="63" t="n">
        <v>0</v>
      </c>
      <c r="F264" s="43" t="n">
        <f aca="false">SUM(B264:E264)</f>
        <v>528</v>
      </c>
      <c r="G264" s="60" t="n">
        <f aca="false">DATE(YEAR(A264),MONTH(A264),1)</f>
        <v>45901</v>
      </c>
      <c r="H264" s="63" t="n">
        <v>0</v>
      </c>
      <c r="I264" s="63" t="n">
        <v>262</v>
      </c>
      <c r="J264" s="43" t="n">
        <f aca="false">H264+I264</f>
        <v>262</v>
      </c>
    </row>
    <row r="265" customFormat="false" ht="15" hidden="false" customHeight="false" outlineLevel="0" collapsed="false">
      <c r="A265" s="62" t="n">
        <v>45918</v>
      </c>
      <c r="B265" s="63" t="n">
        <v>0</v>
      </c>
      <c r="C265" s="63" t="n">
        <v>0</v>
      </c>
      <c r="D265" s="63" t="n">
        <v>5</v>
      </c>
      <c r="E265" s="63" t="n">
        <v>0</v>
      </c>
      <c r="F265" s="43" t="n">
        <f aca="false">SUM(B265:E265)</f>
        <v>5</v>
      </c>
      <c r="G265" s="60" t="n">
        <f aca="false">DATE(YEAR(A265),MONTH(A265),1)</f>
        <v>45901</v>
      </c>
      <c r="H265" s="63" t="n">
        <v>0</v>
      </c>
      <c r="I265" s="63" t="n">
        <v>72</v>
      </c>
      <c r="J265" s="43" t="n">
        <f aca="false">H265+I265</f>
        <v>72</v>
      </c>
    </row>
    <row r="266" customFormat="false" ht="15" hidden="false" customHeight="false" outlineLevel="0" collapsed="false">
      <c r="A266" s="62" t="n">
        <v>45919</v>
      </c>
      <c r="B266" s="63" t="n">
        <v>0</v>
      </c>
      <c r="C266" s="63" t="n">
        <v>0</v>
      </c>
      <c r="D266" s="63" t="n">
        <v>16385</v>
      </c>
      <c r="E266" s="63" t="n">
        <v>0</v>
      </c>
      <c r="F266" s="43" t="n">
        <f aca="false">SUM(B266:E266)</f>
        <v>16385</v>
      </c>
      <c r="G266" s="60" t="n">
        <f aca="false">DATE(YEAR(A266),MONTH(A266),1)</f>
        <v>45901</v>
      </c>
      <c r="H266" s="63" t="n">
        <v>0</v>
      </c>
      <c r="I266" s="63" t="n">
        <v>544</v>
      </c>
      <c r="J266" s="43" t="n">
        <f aca="false">H266+I266</f>
        <v>544</v>
      </c>
    </row>
    <row r="267" customFormat="false" ht="15" hidden="false" customHeight="false" outlineLevel="0" collapsed="false">
      <c r="A267" s="62" t="n">
        <v>45920</v>
      </c>
      <c r="B267" s="63" t="n">
        <v>0</v>
      </c>
      <c r="C267" s="63" t="n">
        <v>0</v>
      </c>
      <c r="D267" s="63" t="n">
        <v>19</v>
      </c>
      <c r="E267" s="63" t="n">
        <v>0</v>
      </c>
      <c r="F267" s="43" t="n">
        <f aca="false">SUM(B267:E267)</f>
        <v>19</v>
      </c>
      <c r="G267" s="60" t="n">
        <f aca="false">DATE(YEAR(A267),MONTH(A267),1)</f>
        <v>45901</v>
      </c>
      <c r="H267" s="63" t="n">
        <v>0</v>
      </c>
      <c r="I267" s="63" t="n">
        <v>43</v>
      </c>
      <c r="J267" s="43" t="n">
        <f aca="false">H267+I267</f>
        <v>43</v>
      </c>
    </row>
    <row r="268" customFormat="false" ht="15" hidden="false" customHeight="false" outlineLevel="0" collapsed="false">
      <c r="A268" s="62" t="n">
        <v>45921</v>
      </c>
      <c r="B268" s="63" t="n">
        <v>0</v>
      </c>
      <c r="C268" s="63" t="n">
        <v>0</v>
      </c>
      <c r="D268" s="63" t="n">
        <v>8</v>
      </c>
      <c r="E268" s="63" t="n">
        <v>0</v>
      </c>
      <c r="F268" s="43" t="n">
        <f aca="false">SUM(B268:E268)</f>
        <v>8</v>
      </c>
      <c r="G268" s="60" t="n">
        <f aca="false">DATE(YEAR(A268),MONTH(A268),1)</f>
        <v>45901</v>
      </c>
      <c r="H268" s="63" t="n">
        <v>0</v>
      </c>
      <c r="I268" s="63" t="n">
        <v>4</v>
      </c>
      <c r="J268" s="43" t="n">
        <f aca="false">H268+I268</f>
        <v>4</v>
      </c>
    </row>
    <row r="269" customFormat="false" ht="15" hidden="false" customHeight="false" outlineLevel="0" collapsed="false">
      <c r="A269" s="62" t="n">
        <v>45922</v>
      </c>
      <c r="B269" s="63" t="n">
        <v>0</v>
      </c>
      <c r="C269" s="63" t="n">
        <v>0</v>
      </c>
      <c r="D269" s="63" t="n">
        <v>8</v>
      </c>
      <c r="E269" s="63" t="n">
        <v>0</v>
      </c>
      <c r="F269" s="43" t="n">
        <f aca="false">SUM(B269:E269)</f>
        <v>8</v>
      </c>
      <c r="G269" s="60" t="n">
        <f aca="false">DATE(YEAR(A269),MONTH(A269),1)</f>
        <v>45901</v>
      </c>
      <c r="H269" s="63" t="n">
        <v>0</v>
      </c>
      <c r="I269" s="63" t="n">
        <v>14</v>
      </c>
      <c r="J269" s="43" t="n">
        <f aca="false">H269+I269</f>
        <v>14</v>
      </c>
    </row>
    <row r="270" customFormat="false" ht="15" hidden="false" customHeight="false" outlineLevel="0" collapsed="false">
      <c r="A270" s="62" t="n">
        <v>45923</v>
      </c>
      <c r="B270" s="63" t="n">
        <v>0</v>
      </c>
      <c r="C270" s="63" t="n">
        <v>0</v>
      </c>
      <c r="D270" s="63" t="n">
        <v>81</v>
      </c>
      <c r="E270" s="63" t="n">
        <v>0</v>
      </c>
      <c r="F270" s="43" t="n">
        <f aca="false">SUM(B270:E270)</f>
        <v>81</v>
      </c>
      <c r="G270" s="60" t="n">
        <f aca="false">DATE(YEAR(A270),MONTH(A270),1)</f>
        <v>45901</v>
      </c>
      <c r="H270" s="63" t="n">
        <v>0</v>
      </c>
      <c r="I270" s="63" t="n">
        <v>62</v>
      </c>
      <c r="J270" s="43" t="n">
        <f aca="false">H270+I270</f>
        <v>62</v>
      </c>
    </row>
    <row r="271" customFormat="false" ht="15" hidden="false" customHeight="false" outlineLevel="0" collapsed="false">
      <c r="A271" s="62" t="n">
        <v>45924</v>
      </c>
      <c r="B271" s="63" t="n">
        <v>0</v>
      </c>
      <c r="C271" s="63" t="n">
        <v>0</v>
      </c>
      <c r="D271" s="63" t="n">
        <v>399</v>
      </c>
      <c r="E271" s="63" t="n">
        <v>0</v>
      </c>
      <c r="F271" s="43" t="n">
        <f aca="false">SUM(B271:E271)</f>
        <v>399</v>
      </c>
      <c r="G271" s="60" t="n">
        <f aca="false">DATE(YEAR(A271),MONTH(A271),1)</f>
        <v>45901</v>
      </c>
      <c r="H271" s="63" t="n">
        <v>0</v>
      </c>
      <c r="I271" s="63" t="n">
        <v>733</v>
      </c>
      <c r="J271" s="43" t="n">
        <f aca="false">H271+I271</f>
        <v>733</v>
      </c>
    </row>
    <row r="272" customFormat="false" ht="15" hidden="false" customHeight="false" outlineLevel="0" collapsed="false">
      <c r="A272" s="62" t="n">
        <v>45925</v>
      </c>
      <c r="B272" s="63" t="n">
        <v>0</v>
      </c>
      <c r="C272" s="63" t="n">
        <v>0</v>
      </c>
      <c r="D272" s="63" t="n">
        <v>0</v>
      </c>
      <c r="E272" s="63" t="n">
        <v>4162</v>
      </c>
      <c r="F272" s="43" t="n">
        <f aca="false">SUM(B272:E272)</f>
        <v>4162</v>
      </c>
      <c r="G272" s="60" t="n">
        <f aca="false">DATE(YEAR(A272),MONTH(A272),1)</f>
        <v>45901</v>
      </c>
      <c r="H272" s="63" t="n">
        <v>0</v>
      </c>
      <c r="I272" s="63" t="n">
        <v>117</v>
      </c>
      <c r="J272" s="43" t="n">
        <f aca="false">H272+I272</f>
        <v>117</v>
      </c>
    </row>
    <row r="273" customFormat="false" ht="15" hidden="false" customHeight="false" outlineLevel="0" collapsed="false">
      <c r="A273" s="62" t="n">
        <v>45926</v>
      </c>
      <c r="B273" s="63" t="n">
        <v>0</v>
      </c>
      <c r="C273" s="63" t="n">
        <v>0</v>
      </c>
      <c r="D273" s="63" t="n">
        <v>2</v>
      </c>
      <c r="E273" s="63" t="n">
        <v>9</v>
      </c>
      <c r="F273" s="43" t="n">
        <f aca="false">SUM(B273:E273)</f>
        <v>11</v>
      </c>
      <c r="G273" s="60" t="n">
        <f aca="false">DATE(YEAR(A273),MONTH(A273),1)</f>
        <v>45901</v>
      </c>
      <c r="H273" s="63" t="n">
        <v>0</v>
      </c>
      <c r="I273" s="63" t="n">
        <v>106</v>
      </c>
      <c r="J273" s="43" t="n">
        <f aca="false">H273+I273</f>
        <v>106</v>
      </c>
    </row>
    <row r="274" customFormat="false" ht="15" hidden="false" customHeight="false" outlineLevel="0" collapsed="false">
      <c r="A274" s="62" t="n">
        <v>45927</v>
      </c>
      <c r="B274" s="63" t="n">
        <v>0</v>
      </c>
      <c r="C274" s="63" t="n">
        <v>0</v>
      </c>
      <c r="D274" s="63" t="n">
        <v>1</v>
      </c>
      <c r="E274" s="63" t="n">
        <v>1982</v>
      </c>
      <c r="F274" s="43" t="n">
        <f aca="false">SUM(B274:E274)</f>
        <v>1983</v>
      </c>
      <c r="G274" s="60" t="n">
        <f aca="false">DATE(YEAR(A274),MONTH(A274),1)</f>
        <v>45901</v>
      </c>
      <c r="H274" s="63" t="n">
        <v>0</v>
      </c>
      <c r="I274" s="63" t="n">
        <v>8</v>
      </c>
      <c r="J274" s="43" t="n">
        <f aca="false">H274+I274</f>
        <v>8</v>
      </c>
    </row>
    <row r="275" customFormat="false" ht="15" hidden="false" customHeight="false" outlineLevel="0" collapsed="false">
      <c r="A275" s="62" t="n">
        <v>45928</v>
      </c>
      <c r="B275" s="63" t="n">
        <v>0</v>
      </c>
      <c r="C275" s="63" t="n">
        <v>0</v>
      </c>
      <c r="D275" s="63" t="n">
        <v>6</v>
      </c>
      <c r="E275" s="63" t="n">
        <v>7</v>
      </c>
      <c r="F275" s="43" t="n">
        <f aca="false">SUM(B275:E275)</f>
        <v>13</v>
      </c>
      <c r="G275" s="60" t="n">
        <f aca="false">DATE(YEAR(A275),MONTH(A275),1)</f>
        <v>45901</v>
      </c>
      <c r="H275" s="63" t="n">
        <v>0</v>
      </c>
      <c r="I275" s="63" t="n">
        <v>2</v>
      </c>
      <c r="J275" s="43" t="n">
        <f aca="false">H275+I275</f>
        <v>2</v>
      </c>
    </row>
    <row r="276" customFormat="false" ht="15" hidden="false" customHeight="false" outlineLevel="0" collapsed="false">
      <c r="A276" s="62" t="n">
        <v>45929</v>
      </c>
      <c r="B276" s="63" t="n">
        <v>0</v>
      </c>
      <c r="C276" s="63" t="n">
        <v>0</v>
      </c>
      <c r="D276" s="63" t="n">
        <v>1</v>
      </c>
      <c r="E276" s="63" t="n">
        <v>9198</v>
      </c>
      <c r="F276" s="43" t="n">
        <f aca="false">SUM(B276:E276)</f>
        <v>9199</v>
      </c>
      <c r="G276" s="60" t="n">
        <f aca="false">DATE(YEAR(A276),MONTH(A276),1)</f>
        <v>45901</v>
      </c>
      <c r="H276" s="63" t="n">
        <v>0</v>
      </c>
      <c r="I276" s="63" t="n">
        <v>62</v>
      </c>
      <c r="J276" s="43" t="n">
        <f aca="false">H276+I276</f>
        <v>62</v>
      </c>
    </row>
    <row r="277" customFormat="false" ht="15" hidden="false" customHeight="false" outlineLevel="0" collapsed="false">
      <c r="A277" s="62" t="n">
        <v>45930</v>
      </c>
      <c r="B277" s="63" t="n">
        <v>0</v>
      </c>
      <c r="C277" s="63" t="n">
        <v>0</v>
      </c>
      <c r="D277" s="63" t="n">
        <v>0</v>
      </c>
      <c r="E277" s="63" t="n">
        <v>20</v>
      </c>
      <c r="F277" s="43" t="n">
        <f aca="false">SUM(B277:E277)</f>
        <v>20</v>
      </c>
      <c r="G277" s="60" t="n">
        <f aca="false">DATE(YEAR(A277),MONTH(A277),1)</f>
        <v>45901</v>
      </c>
      <c r="H277" s="63" t="n">
        <v>0</v>
      </c>
      <c r="I277" s="63" t="n">
        <v>19</v>
      </c>
      <c r="J277" s="43" t="n">
        <f aca="false">H277+I277</f>
        <v>19</v>
      </c>
    </row>
    <row r="278" customFormat="false" ht="15" hidden="false" customHeight="false" outlineLevel="0" collapsed="false">
      <c r="A278" s="62" t="n">
        <v>45931</v>
      </c>
      <c r="B278" s="63" t="n">
        <v>0</v>
      </c>
      <c r="C278" s="63" t="n">
        <v>0</v>
      </c>
      <c r="D278" s="63" t="n">
        <v>2</v>
      </c>
      <c r="E278" s="63" t="n">
        <v>4</v>
      </c>
      <c r="F278" s="43" t="n">
        <f aca="false">SUM(B278:E278)</f>
        <v>6</v>
      </c>
      <c r="G278" s="60" t="n">
        <f aca="false">DATE(YEAR(A278),MONTH(A278),1)</f>
        <v>45931</v>
      </c>
      <c r="H278" s="63" t="n">
        <v>0</v>
      </c>
      <c r="I278" s="63" t="n">
        <v>3</v>
      </c>
      <c r="J278" s="43" t="n">
        <f aca="false">H278+I278</f>
        <v>3</v>
      </c>
    </row>
    <row r="279" customFormat="false" ht="15" hidden="false" customHeight="false" outlineLevel="0" collapsed="false">
      <c r="A279" s="62" t="n">
        <v>45932</v>
      </c>
      <c r="B279" s="63" t="n">
        <v>0</v>
      </c>
      <c r="C279" s="63" t="n">
        <v>0</v>
      </c>
      <c r="D279" s="63" t="n">
        <v>0</v>
      </c>
      <c r="E279" s="63" t="n">
        <v>5</v>
      </c>
      <c r="F279" s="43" t="n">
        <f aca="false">SUM(B279:E279)</f>
        <v>5</v>
      </c>
      <c r="G279" s="60" t="n">
        <f aca="false">DATE(YEAR(A279),MONTH(A279),1)</f>
        <v>45931</v>
      </c>
      <c r="H279" s="63" t="n">
        <v>0</v>
      </c>
      <c r="I279" s="63" t="n">
        <v>2</v>
      </c>
      <c r="J279" s="43" t="n">
        <f aca="false">H279+I279</f>
        <v>2</v>
      </c>
    </row>
    <row r="280" customFormat="false" ht="15" hidden="false" customHeight="false" outlineLevel="0" collapsed="false">
      <c r="A280" s="62" t="n">
        <v>45933</v>
      </c>
      <c r="B280" s="63" t="n">
        <v>0</v>
      </c>
      <c r="C280" s="63" t="n">
        <v>0</v>
      </c>
      <c r="D280" s="63" t="n">
        <v>4</v>
      </c>
      <c r="E280" s="63" t="n">
        <v>3</v>
      </c>
      <c r="F280" s="43" t="n">
        <f aca="false">SUM(B280:E280)</f>
        <v>7</v>
      </c>
      <c r="G280" s="60" t="n">
        <f aca="false">DATE(YEAR(A280),MONTH(A280),1)</f>
        <v>45931</v>
      </c>
      <c r="H280" s="63" t="n">
        <v>0</v>
      </c>
      <c r="I280" s="63" t="n">
        <v>0</v>
      </c>
      <c r="J280" s="43" t="n">
        <f aca="false">H280+I280</f>
        <v>0</v>
      </c>
    </row>
    <row r="281" customFormat="false" ht="15" hidden="false" customHeight="false" outlineLevel="0" collapsed="false">
      <c r="A281" s="62" t="n">
        <v>45934</v>
      </c>
      <c r="B281" s="63" t="n">
        <v>0</v>
      </c>
      <c r="C281" s="63" t="n">
        <v>0</v>
      </c>
      <c r="D281" s="63" t="n">
        <v>0</v>
      </c>
      <c r="E281" s="63" t="n">
        <v>2</v>
      </c>
      <c r="F281" s="43" t="n">
        <f aca="false">SUM(B281:E281)</f>
        <v>2</v>
      </c>
      <c r="G281" s="60" t="n">
        <f aca="false">DATE(YEAR(A281),MONTH(A281),1)</f>
        <v>45931</v>
      </c>
      <c r="H281" s="63" t="n">
        <v>0</v>
      </c>
      <c r="I281" s="63" t="n">
        <v>1</v>
      </c>
      <c r="J281" s="43" t="n">
        <f aca="false">H281+I281</f>
        <v>1</v>
      </c>
    </row>
    <row r="282" customFormat="false" ht="15" hidden="false" customHeight="false" outlineLevel="0" collapsed="false">
      <c r="A282" s="62" t="n">
        <v>45935</v>
      </c>
      <c r="B282" s="63" t="n">
        <v>0</v>
      </c>
      <c r="C282" s="63" t="n">
        <v>0</v>
      </c>
      <c r="D282" s="63" t="n">
        <v>1</v>
      </c>
      <c r="E282" s="63" t="n">
        <v>1</v>
      </c>
      <c r="F282" s="43" t="n">
        <f aca="false">SUM(B282:E282)</f>
        <v>2</v>
      </c>
      <c r="G282" s="60" t="n">
        <f aca="false">DATE(YEAR(A282),MONTH(A282),1)</f>
        <v>45931</v>
      </c>
      <c r="H282" s="63" t="n">
        <v>0</v>
      </c>
      <c r="I282" s="63" t="n">
        <v>7</v>
      </c>
      <c r="J282" s="43" t="n">
        <f aca="false">H282+I282</f>
        <v>7</v>
      </c>
    </row>
    <row r="283" customFormat="false" ht="15" hidden="false" customHeight="false" outlineLevel="0" collapsed="false">
      <c r="A283" s="62" t="n">
        <v>45936</v>
      </c>
      <c r="B283" s="63" t="n">
        <v>0</v>
      </c>
      <c r="C283" s="63" t="n">
        <v>0</v>
      </c>
      <c r="D283" s="63" t="n">
        <v>1</v>
      </c>
      <c r="E283" s="63" t="n">
        <v>0</v>
      </c>
      <c r="F283" s="43" t="n">
        <f aca="false">SUM(B283:E283)</f>
        <v>1</v>
      </c>
      <c r="G283" s="60" t="n">
        <f aca="false">DATE(YEAR(A283),MONTH(A283),1)</f>
        <v>45931</v>
      </c>
      <c r="H283" s="63" t="n">
        <v>0</v>
      </c>
      <c r="I283" s="63" t="n">
        <v>8</v>
      </c>
      <c r="J283" s="43" t="n">
        <f aca="false">H283+I283</f>
        <v>8</v>
      </c>
    </row>
    <row r="284" customFormat="false" ht="15" hidden="false" customHeight="false" outlineLevel="0" collapsed="false">
      <c r="A284" s="62" t="n">
        <v>45937</v>
      </c>
      <c r="B284" s="63" t="n">
        <v>0</v>
      </c>
      <c r="C284" s="63" t="n">
        <v>0</v>
      </c>
      <c r="D284" s="63" t="n">
        <v>2</v>
      </c>
      <c r="E284" s="63" t="n">
        <v>972</v>
      </c>
      <c r="F284" s="43" t="n">
        <f aca="false">SUM(B284:E284)</f>
        <v>974</v>
      </c>
      <c r="G284" s="60" t="n">
        <f aca="false">DATE(YEAR(A284),MONTH(A284),1)</f>
        <v>45931</v>
      </c>
      <c r="H284" s="63" t="n">
        <v>0</v>
      </c>
      <c r="I284" s="63" t="n">
        <v>72</v>
      </c>
      <c r="J284" s="43" t="n">
        <f aca="false">H284+I284</f>
        <v>72</v>
      </c>
    </row>
    <row r="285" customFormat="false" ht="15" hidden="false" customHeight="false" outlineLevel="0" collapsed="false">
      <c r="A285" s="62" t="n">
        <v>45938</v>
      </c>
      <c r="B285" s="63" t="n">
        <v>0</v>
      </c>
      <c r="C285" s="63" t="n">
        <v>0</v>
      </c>
      <c r="D285" s="63" t="n">
        <v>0</v>
      </c>
      <c r="E285" s="63" t="n">
        <v>2032</v>
      </c>
      <c r="F285" s="43" t="n">
        <f aca="false">SUM(B285:E285)</f>
        <v>2032</v>
      </c>
      <c r="G285" s="60" t="n">
        <f aca="false">DATE(YEAR(A285),MONTH(A285),1)</f>
        <v>45931</v>
      </c>
      <c r="H285" s="63" t="n">
        <v>0</v>
      </c>
      <c r="I285" s="63" t="n">
        <v>279</v>
      </c>
      <c r="J285" s="43" t="n">
        <f aca="false">H285+I285</f>
        <v>279</v>
      </c>
    </row>
    <row r="286" customFormat="false" ht="15" hidden="false" customHeight="false" outlineLevel="0" collapsed="false">
      <c r="A286" s="62" t="n">
        <v>45939</v>
      </c>
      <c r="B286" s="63" t="n">
        <v>0</v>
      </c>
      <c r="C286" s="63" t="n">
        <v>0</v>
      </c>
      <c r="D286" s="63" t="n">
        <v>1</v>
      </c>
      <c r="E286" s="63" t="n">
        <v>3819</v>
      </c>
      <c r="F286" s="43" t="n">
        <f aca="false">SUM(B286:E286)</f>
        <v>3820</v>
      </c>
      <c r="G286" s="60" t="n">
        <f aca="false">DATE(YEAR(A286),MONTH(A286),1)</f>
        <v>45931</v>
      </c>
      <c r="H286" s="63" t="n">
        <v>0</v>
      </c>
      <c r="I286" s="63" t="n">
        <v>633</v>
      </c>
      <c r="J286" s="43" t="n">
        <f aca="false">H286+I286</f>
        <v>633</v>
      </c>
    </row>
    <row r="287" customFormat="false" ht="15" hidden="false" customHeight="false" outlineLevel="0" collapsed="false">
      <c r="A287" s="62" t="n">
        <v>45940</v>
      </c>
      <c r="B287" s="63" t="n">
        <v>0</v>
      </c>
      <c r="C287" s="63" t="n">
        <v>0</v>
      </c>
      <c r="D287" s="63" t="n">
        <v>0</v>
      </c>
      <c r="E287" s="63" t="n">
        <v>2220</v>
      </c>
      <c r="F287" s="43" t="n">
        <f aca="false">SUM(B287:E287)</f>
        <v>2220</v>
      </c>
      <c r="G287" s="60" t="n">
        <f aca="false">DATE(YEAR(A287),MONTH(A287),1)</f>
        <v>45931</v>
      </c>
      <c r="H287" s="63" t="n">
        <v>0</v>
      </c>
      <c r="I287" s="63" t="n">
        <v>110</v>
      </c>
      <c r="J287" s="43" t="n">
        <f aca="false">H287+I287</f>
        <v>110</v>
      </c>
    </row>
    <row r="288" customFormat="false" ht="15" hidden="false" customHeight="false" outlineLevel="0" collapsed="false">
      <c r="A288" s="62" t="n">
        <v>45941</v>
      </c>
      <c r="B288" s="63" t="n">
        <v>0</v>
      </c>
      <c r="C288" s="63" t="n">
        <v>0</v>
      </c>
      <c r="D288" s="63" t="n">
        <v>0</v>
      </c>
      <c r="E288" s="63" t="n">
        <v>10</v>
      </c>
      <c r="F288" s="43" t="n">
        <f aca="false">SUM(B288:E288)</f>
        <v>10</v>
      </c>
      <c r="G288" s="60" t="n">
        <f aca="false">DATE(YEAR(A288),MONTH(A288),1)</f>
        <v>45931</v>
      </c>
      <c r="H288" s="63" t="n">
        <v>0</v>
      </c>
      <c r="I288" s="63" t="n">
        <v>3</v>
      </c>
      <c r="J288" s="43" t="n">
        <f aca="false">H288+I288</f>
        <v>3</v>
      </c>
    </row>
    <row r="289" customFormat="false" ht="15" hidden="false" customHeight="false" outlineLevel="0" collapsed="false">
      <c r="A289" s="62" t="n">
        <v>45942</v>
      </c>
      <c r="B289" s="63" t="n">
        <v>0</v>
      </c>
      <c r="C289" s="63" t="n">
        <v>0</v>
      </c>
      <c r="D289" s="63" t="n">
        <v>0</v>
      </c>
      <c r="E289" s="63" t="n">
        <v>5</v>
      </c>
      <c r="F289" s="43" t="n">
        <f aca="false">SUM(B289:E289)</f>
        <v>5</v>
      </c>
      <c r="G289" s="60" t="n">
        <f aca="false">DATE(YEAR(A289),MONTH(A289),1)</f>
        <v>45931</v>
      </c>
      <c r="H289" s="63" t="n">
        <v>0</v>
      </c>
      <c r="I289" s="63" t="n">
        <v>1</v>
      </c>
      <c r="J289" s="43" t="n">
        <f aca="false">H289+I289</f>
        <v>1</v>
      </c>
    </row>
    <row r="290" customFormat="false" ht="15" hidden="false" customHeight="false" outlineLevel="0" collapsed="false">
      <c r="A290" s="62" t="n">
        <v>45943</v>
      </c>
      <c r="B290" s="63" t="n">
        <v>0</v>
      </c>
      <c r="C290" s="63" t="n">
        <v>0</v>
      </c>
      <c r="D290" s="63" t="n">
        <v>0</v>
      </c>
      <c r="E290" s="63" t="n">
        <v>2726</v>
      </c>
      <c r="F290" s="43" t="n">
        <f aca="false">SUM(B290:E290)</f>
        <v>2726</v>
      </c>
      <c r="G290" s="60" t="n">
        <f aca="false">DATE(YEAR(A290),MONTH(A290),1)</f>
        <v>45931</v>
      </c>
      <c r="H290" s="63" t="n">
        <v>0</v>
      </c>
      <c r="I290" s="63" t="n">
        <v>17</v>
      </c>
      <c r="J290" s="43" t="n">
        <f aca="false">H290+I290</f>
        <v>17</v>
      </c>
    </row>
    <row r="291" customFormat="false" ht="15" hidden="false" customHeight="false" outlineLevel="0" collapsed="false">
      <c r="A291" s="62" t="n">
        <v>45944</v>
      </c>
      <c r="B291" s="63" t="n">
        <v>0</v>
      </c>
      <c r="C291" s="63" t="n">
        <v>0</v>
      </c>
      <c r="D291" s="63" t="n">
        <v>0</v>
      </c>
      <c r="E291" s="63" t="n">
        <v>8146</v>
      </c>
      <c r="F291" s="43" t="n">
        <f aca="false">SUM(B291:E291)</f>
        <v>8146</v>
      </c>
      <c r="G291" s="60" t="n">
        <f aca="false">DATE(YEAR(A291),MONTH(A291),1)</f>
        <v>45931</v>
      </c>
      <c r="H291" s="63" t="n">
        <v>0</v>
      </c>
      <c r="I291" s="63" t="n">
        <v>138</v>
      </c>
      <c r="J291" s="43" t="n">
        <f aca="false">H291+I291</f>
        <v>138</v>
      </c>
    </row>
    <row r="292" customFormat="false" ht="15" hidden="false" customHeight="false" outlineLevel="0" collapsed="false">
      <c r="A292" s="62" t="n">
        <v>45945</v>
      </c>
      <c r="B292" s="63" t="n">
        <v>0</v>
      </c>
      <c r="C292" s="63" t="n">
        <v>0</v>
      </c>
      <c r="D292" s="63" t="n">
        <v>0</v>
      </c>
      <c r="E292" s="63" t="n">
        <v>21</v>
      </c>
      <c r="F292" s="43" t="n">
        <f aca="false">SUM(B292:E292)</f>
        <v>21</v>
      </c>
      <c r="G292" s="60" t="n">
        <f aca="false">DATE(YEAR(A292),MONTH(A292),1)</f>
        <v>45931</v>
      </c>
      <c r="H292" s="63" t="n">
        <v>0</v>
      </c>
      <c r="I292" s="63" t="n">
        <v>42</v>
      </c>
      <c r="J292" s="43" t="n">
        <f aca="false">H292+I292</f>
        <v>42</v>
      </c>
    </row>
    <row r="293" customFormat="false" ht="15" hidden="false" customHeight="false" outlineLevel="0" collapsed="false">
      <c r="A293" s="62" t="n">
        <v>45946</v>
      </c>
      <c r="B293" s="63" t="n">
        <v>0</v>
      </c>
      <c r="C293" s="63" t="n">
        <v>0</v>
      </c>
      <c r="D293" s="63" t="n">
        <v>1</v>
      </c>
      <c r="E293" s="63" t="n">
        <v>3744</v>
      </c>
      <c r="F293" s="43" t="n">
        <f aca="false">SUM(B293:E293)</f>
        <v>3745</v>
      </c>
      <c r="G293" s="60" t="n">
        <f aca="false">DATE(YEAR(A293),MONTH(A293),1)</f>
        <v>45931</v>
      </c>
      <c r="H293" s="63" t="n">
        <v>0</v>
      </c>
      <c r="I293" s="63" t="n">
        <v>291</v>
      </c>
      <c r="J293" s="43" t="n">
        <f aca="false">H293+I293</f>
        <v>291</v>
      </c>
    </row>
    <row r="294" customFormat="false" ht="15" hidden="false" customHeight="false" outlineLevel="0" collapsed="false">
      <c r="A294" s="62" t="n">
        <v>45947</v>
      </c>
      <c r="B294" s="63" t="n">
        <v>0</v>
      </c>
      <c r="C294" s="63" t="n">
        <v>0</v>
      </c>
      <c r="D294" s="63" t="n">
        <v>0</v>
      </c>
      <c r="E294" s="63" t="n">
        <v>12</v>
      </c>
      <c r="F294" s="43" t="n">
        <f aca="false">SUM(B294:E294)</f>
        <v>12</v>
      </c>
      <c r="G294" s="60" t="n">
        <f aca="false">DATE(YEAR(A294),MONTH(A294),1)</f>
        <v>45931</v>
      </c>
      <c r="H294" s="63" t="n">
        <v>0</v>
      </c>
      <c r="I294" s="63" t="n">
        <v>25</v>
      </c>
      <c r="J294" s="43" t="n">
        <f aca="false">H294+I294</f>
        <v>25</v>
      </c>
    </row>
    <row r="295" customFormat="false" ht="15" hidden="false" customHeight="false" outlineLevel="0" collapsed="false">
      <c r="A295" s="62" t="n">
        <v>45948</v>
      </c>
      <c r="B295" s="63" t="n">
        <v>0</v>
      </c>
      <c r="C295" s="63" t="n">
        <v>0</v>
      </c>
      <c r="D295" s="63" t="n">
        <v>0</v>
      </c>
      <c r="E295" s="63" t="n">
        <v>4</v>
      </c>
      <c r="F295" s="43" t="n">
        <f aca="false">SUM(B295:E295)</f>
        <v>4</v>
      </c>
      <c r="G295" s="60" t="n">
        <f aca="false">DATE(YEAR(A295),MONTH(A295),1)</f>
        <v>45931</v>
      </c>
      <c r="H295" s="63" t="n">
        <v>0</v>
      </c>
      <c r="I295" s="63" t="n">
        <v>12</v>
      </c>
      <c r="J295" s="43" t="n">
        <f aca="false">H295+I295</f>
        <v>12</v>
      </c>
    </row>
    <row r="296" customFormat="false" ht="15" hidden="false" customHeight="false" outlineLevel="0" collapsed="false">
      <c r="A296" s="62" t="n">
        <v>45949</v>
      </c>
      <c r="B296" s="63" t="n">
        <v>0</v>
      </c>
      <c r="C296" s="63" t="n">
        <v>0</v>
      </c>
      <c r="D296" s="63" t="n">
        <v>0</v>
      </c>
      <c r="E296" s="63" t="n">
        <v>5</v>
      </c>
      <c r="F296" s="43" t="n">
        <f aca="false">SUM(B296:E296)</f>
        <v>5</v>
      </c>
      <c r="G296" s="60" t="n">
        <f aca="false">DATE(YEAR(A296),MONTH(A296),1)</f>
        <v>45931</v>
      </c>
      <c r="H296" s="63" t="n">
        <v>0</v>
      </c>
      <c r="I296" s="63" t="n">
        <v>2</v>
      </c>
      <c r="J296" s="43" t="n">
        <f aca="false">H296+I296</f>
        <v>2</v>
      </c>
    </row>
    <row r="297" customFormat="false" ht="15" hidden="false" customHeight="false" outlineLevel="0" collapsed="false">
      <c r="A297" s="62" t="n">
        <v>45950</v>
      </c>
      <c r="B297" s="63" t="n">
        <v>0</v>
      </c>
      <c r="C297" s="63" t="n">
        <v>0</v>
      </c>
      <c r="D297" s="63" t="n">
        <v>0</v>
      </c>
      <c r="E297" s="63" t="n">
        <v>6</v>
      </c>
      <c r="F297" s="43" t="n">
        <f aca="false">SUM(B297:E297)</f>
        <v>6</v>
      </c>
      <c r="G297" s="60" t="n">
        <f aca="false">DATE(YEAR(A297),MONTH(A297),1)</f>
        <v>45931</v>
      </c>
      <c r="H297" s="63" t="n">
        <v>0</v>
      </c>
      <c r="I297" s="63" t="n">
        <v>8</v>
      </c>
      <c r="J297" s="43" t="n">
        <f aca="false">H297+I297</f>
        <v>8</v>
      </c>
    </row>
    <row r="298" customFormat="false" ht="15" hidden="false" customHeight="false" outlineLevel="0" collapsed="false">
      <c r="A298" s="62" t="n">
        <v>45951</v>
      </c>
      <c r="B298" s="63" t="n">
        <v>0</v>
      </c>
      <c r="C298" s="63" t="n">
        <v>0</v>
      </c>
      <c r="D298" s="63" t="n">
        <v>0</v>
      </c>
      <c r="E298" s="63" t="n">
        <v>13571</v>
      </c>
      <c r="F298" s="43" t="n">
        <f aca="false">SUM(B298:E298)</f>
        <v>13571</v>
      </c>
      <c r="G298" s="60" t="n">
        <f aca="false">DATE(YEAR(A298),MONTH(A298),1)</f>
        <v>45931</v>
      </c>
      <c r="H298" s="63" t="n">
        <v>0</v>
      </c>
      <c r="I298" s="63" t="n">
        <v>287</v>
      </c>
      <c r="J298" s="43" t="n">
        <f aca="false">H298+I298</f>
        <v>287</v>
      </c>
    </row>
    <row r="299" customFormat="false" ht="15" hidden="false" customHeight="false" outlineLevel="0" collapsed="false">
      <c r="A299" s="62" t="n">
        <v>45952</v>
      </c>
      <c r="B299" s="63" t="n">
        <v>0</v>
      </c>
      <c r="C299" s="63" t="n">
        <v>0</v>
      </c>
      <c r="D299" s="63" t="n">
        <v>0</v>
      </c>
      <c r="E299" s="63" t="n">
        <v>24</v>
      </c>
      <c r="F299" s="43" t="n">
        <f aca="false">SUM(B299:E299)</f>
        <v>24</v>
      </c>
      <c r="G299" s="60" t="n">
        <f aca="false">DATE(YEAR(A299),MONTH(A299),1)</f>
        <v>45931</v>
      </c>
      <c r="H299" s="63" t="n">
        <v>0</v>
      </c>
      <c r="I299" s="63" t="n">
        <v>49</v>
      </c>
      <c r="J299" s="43" t="n">
        <f aca="false">H299+I299</f>
        <v>49</v>
      </c>
    </row>
    <row r="300" customFormat="false" ht="15" hidden="false" customHeight="false" outlineLevel="0" collapsed="false">
      <c r="A300" s="62" t="n">
        <v>45953</v>
      </c>
      <c r="B300" s="63" t="n">
        <v>0</v>
      </c>
      <c r="C300" s="63" t="n">
        <v>0</v>
      </c>
      <c r="D300" s="63" t="n">
        <v>0</v>
      </c>
      <c r="E300" s="63" t="n">
        <v>8</v>
      </c>
      <c r="F300" s="43" t="n">
        <f aca="false">SUM(B300:E300)</f>
        <v>8</v>
      </c>
      <c r="G300" s="60" t="n">
        <f aca="false">DATE(YEAR(A300),MONTH(A300),1)</f>
        <v>45931</v>
      </c>
      <c r="H300" s="63" t="n">
        <v>0</v>
      </c>
      <c r="I300" s="63" t="n">
        <v>21</v>
      </c>
      <c r="J300" s="43" t="n">
        <f aca="false">H300+I300</f>
        <v>21</v>
      </c>
    </row>
    <row r="301" customFormat="false" ht="15" hidden="false" customHeight="false" outlineLevel="0" collapsed="false">
      <c r="A301" s="62" t="n">
        <v>45954</v>
      </c>
      <c r="B301" s="63" t="n">
        <v>0</v>
      </c>
      <c r="C301" s="63" t="n">
        <v>0</v>
      </c>
      <c r="D301" s="63" t="n">
        <v>0</v>
      </c>
      <c r="E301" s="63" t="n">
        <v>2444</v>
      </c>
      <c r="F301" s="43" t="n">
        <f aca="false">SUM(B301:E301)</f>
        <v>2444</v>
      </c>
      <c r="G301" s="60" t="n">
        <f aca="false">DATE(YEAR(A301),MONTH(A301),1)</f>
        <v>45931</v>
      </c>
      <c r="H301" s="63" t="n">
        <v>0</v>
      </c>
      <c r="I301" s="63" t="n">
        <v>114</v>
      </c>
      <c r="J301" s="43" t="n">
        <f aca="false">H301+I301</f>
        <v>114</v>
      </c>
    </row>
    <row r="302" customFormat="false" ht="15" hidden="false" customHeight="false" outlineLevel="0" collapsed="false">
      <c r="A302" s="62" t="n">
        <v>45955</v>
      </c>
      <c r="B302" s="63" t="n">
        <v>0</v>
      </c>
      <c r="C302" s="63" t="n">
        <v>0</v>
      </c>
      <c r="D302" s="63" t="n">
        <v>0</v>
      </c>
      <c r="E302" s="63" t="n">
        <v>2</v>
      </c>
      <c r="F302" s="43" t="n">
        <f aca="false">SUM(B302:E302)</f>
        <v>2</v>
      </c>
      <c r="G302" s="60" t="n">
        <f aca="false">DATE(YEAR(A302),MONTH(A302),1)</f>
        <v>45931</v>
      </c>
      <c r="H302" s="63" t="n">
        <v>0</v>
      </c>
      <c r="I302" s="63" t="n">
        <v>24</v>
      </c>
      <c r="J302" s="43" t="n">
        <f aca="false">H302+I302</f>
        <v>24</v>
      </c>
    </row>
    <row r="303" customFormat="false" ht="15" hidden="false" customHeight="false" outlineLevel="0" collapsed="false">
      <c r="A303" s="62" t="n">
        <v>45956</v>
      </c>
      <c r="B303" s="63" t="n">
        <v>0</v>
      </c>
      <c r="C303" s="63" t="n">
        <v>0</v>
      </c>
      <c r="D303" s="63" t="n">
        <v>0</v>
      </c>
      <c r="E303" s="63" t="n">
        <v>1</v>
      </c>
      <c r="F303" s="43" t="n">
        <f aca="false">SUM(B303:E303)</f>
        <v>1</v>
      </c>
      <c r="G303" s="60" t="n">
        <f aca="false">DATE(YEAR(A303),MONTH(A303),1)</f>
        <v>45931</v>
      </c>
      <c r="H303" s="63" t="n">
        <v>0</v>
      </c>
      <c r="I303" s="63" t="n">
        <v>5</v>
      </c>
      <c r="J303" s="43" t="n">
        <f aca="false">H303+I303</f>
        <v>5</v>
      </c>
    </row>
    <row r="304" customFormat="false" ht="15" hidden="false" customHeight="false" outlineLevel="0" collapsed="false">
      <c r="A304" s="62" t="n">
        <v>45957</v>
      </c>
      <c r="B304" s="63" t="n">
        <v>0</v>
      </c>
      <c r="C304" s="63" t="n">
        <v>0</v>
      </c>
      <c r="D304" s="63" t="n">
        <v>0</v>
      </c>
      <c r="E304" s="63" t="n">
        <v>8</v>
      </c>
      <c r="F304" s="43" t="n">
        <f aca="false">SUM(B304:E304)</f>
        <v>8</v>
      </c>
      <c r="G304" s="60" t="n">
        <f aca="false">DATE(YEAR(A304),MONTH(A304),1)</f>
        <v>45931</v>
      </c>
      <c r="H304" s="63" t="n">
        <v>0</v>
      </c>
      <c r="I304" s="63" t="n">
        <v>31</v>
      </c>
      <c r="J304" s="43" t="n">
        <f aca="false">H304+I304</f>
        <v>31</v>
      </c>
    </row>
    <row r="305" customFormat="false" ht="15" hidden="false" customHeight="false" outlineLevel="0" collapsed="false">
      <c r="A305" s="62" t="n">
        <v>45958</v>
      </c>
      <c r="B305" s="63" t="n">
        <v>0</v>
      </c>
      <c r="C305" s="63" t="n">
        <v>0</v>
      </c>
      <c r="D305" s="63" t="n">
        <v>0</v>
      </c>
      <c r="E305" s="63" t="n">
        <v>559</v>
      </c>
      <c r="F305" s="43" t="n">
        <f aca="false">SUM(B305:E305)</f>
        <v>559</v>
      </c>
      <c r="G305" s="60" t="n">
        <f aca="false">DATE(YEAR(A305),MONTH(A305),1)</f>
        <v>45931</v>
      </c>
      <c r="H305" s="63" t="n">
        <v>0</v>
      </c>
      <c r="I305" s="63" t="n">
        <v>171</v>
      </c>
      <c r="J305" s="43" t="n">
        <f aca="false">H305+I305</f>
        <v>171</v>
      </c>
    </row>
    <row r="306" customFormat="false" ht="15" hidden="false" customHeight="false" outlineLevel="0" collapsed="false">
      <c r="A306" s="62" t="n">
        <v>45959</v>
      </c>
      <c r="B306" s="63" t="n">
        <v>0</v>
      </c>
      <c r="C306" s="63" t="n">
        <v>0</v>
      </c>
      <c r="D306" s="63" t="n">
        <v>0</v>
      </c>
      <c r="E306" s="63" t="n">
        <v>2654</v>
      </c>
      <c r="F306" s="43" t="n">
        <f aca="false">SUM(B306:E306)</f>
        <v>2654</v>
      </c>
      <c r="G306" s="60" t="n">
        <f aca="false">DATE(YEAR(A306),MONTH(A306),1)</f>
        <v>45931</v>
      </c>
      <c r="H306" s="63" t="n">
        <v>0</v>
      </c>
      <c r="I306" s="63" t="n">
        <v>11</v>
      </c>
      <c r="J306" s="43" t="n">
        <f aca="false">H306+I306</f>
        <v>11</v>
      </c>
    </row>
    <row r="307" customFormat="false" ht="15" hidden="false" customHeight="false" outlineLevel="0" collapsed="false">
      <c r="A307" s="62" t="n">
        <v>45960</v>
      </c>
      <c r="B307" s="63" t="n">
        <v>0</v>
      </c>
      <c r="C307" s="63" t="n">
        <v>0</v>
      </c>
      <c r="D307" s="63" t="n">
        <v>0</v>
      </c>
      <c r="E307" s="63" t="n">
        <v>3301</v>
      </c>
      <c r="F307" s="43" t="n">
        <f aca="false">SUM(B307:E307)</f>
        <v>3301</v>
      </c>
      <c r="G307" s="60" t="n">
        <f aca="false">DATE(YEAR(A307),MONTH(A307),1)</f>
        <v>45931</v>
      </c>
      <c r="H307" s="63" t="n">
        <v>0</v>
      </c>
      <c r="I307" s="63" t="n">
        <v>50</v>
      </c>
      <c r="J307" s="43" t="n">
        <f aca="false">H307+I307</f>
        <v>50</v>
      </c>
    </row>
    <row r="308" customFormat="false" ht="15" hidden="false" customHeight="false" outlineLevel="0" collapsed="false">
      <c r="A308" s="62" t="n">
        <v>45961</v>
      </c>
      <c r="B308" s="63" t="n">
        <v>0</v>
      </c>
      <c r="C308" s="63" t="n">
        <v>0</v>
      </c>
      <c r="D308" s="63" t="n">
        <v>0</v>
      </c>
      <c r="E308" s="63" t="n">
        <v>12</v>
      </c>
      <c r="F308" s="43" t="n">
        <f aca="false">SUM(B308:E308)</f>
        <v>12</v>
      </c>
      <c r="G308" s="60" t="n">
        <f aca="false">DATE(YEAR(A308),MONTH(A308),1)</f>
        <v>45931</v>
      </c>
      <c r="H308" s="63" t="n">
        <v>0</v>
      </c>
      <c r="I308" s="63" t="n">
        <v>22</v>
      </c>
      <c r="J308" s="43" t="n">
        <f aca="false">H308+I308</f>
        <v>22</v>
      </c>
    </row>
    <row r="309" customFormat="false" ht="15" hidden="false" customHeight="false" outlineLevel="0" collapsed="false">
      <c r="A309" s="62" t="n">
        <v>45962</v>
      </c>
      <c r="B309" s="63" t="n">
        <v>0</v>
      </c>
      <c r="C309" s="63" t="n">
        <v>0</v>
      </c>
      <c r="D309" s="63" t="n">
        <v>0</v>
      </c>
      <c r="E309" s="63" t="n">
        <v>1</v>
      </c>
      <c r="F309" s="43" t="n">
        <f aca="false">SUM(B309:E309)</f>
        <v>1</v>
      </c>
      <c r="G309" s="60" t="n">
        <f aca="false">DATE(YEAR(A309),MONTH(A309),1)</f>
        <v>45962</v>
      </c>
      <c r="H309" s="63" t="n">
        <v>0</v>
      </c>
      <c r="I309" s="63" t="n">
        <v>20</v>
      </c>
      <c r="J309" s="43" t="n">
        <f aca="false">H309+I309</f>
        <v>20</v>
      </c>
    </row>
    <row r="310" customFormat="false" ht="15" hidden="false" customHeight="false" outlineLevel="0" collapsed="false">
      <c r="A310" s="62" t="n">
        <v>45963</v>
      </c>
      <c r="B310" s="63" t="n">
        <v>0</v>
      </c>
      <c r="C310" s="63" t="n">
        <v>0</v>
      </c>
      <c r="D310" s="63" t="n">
        <v>0</v>
      </c>
      <c r="E310" s="63" t="n">
        <v>1</v>
      </c>
      <c r="F310" s="43" t="n">
        <f aca="false">SUM(B310:E310)</f>
        <v>1</v>
      </c>
      <c r="G310" s="60" t="n">
        <f aca="false">DATE(YEAR(A310),MONTH(A310),1)</f>
        <v>45962</v>
      </c>
      <c r="H310" s="63" t="n">
        <v>0</v>
      </c>
      <c r="I310" s="63" t="n">
        <v>0</v>
      </c>
      <c r="J310" s="43" t="n">
        <f aca="false">H310+I310</f>
        <v>0</v>
      </c>
    </row>
    <row r="311" customFormat="false" ht="15" hidden="false" customHeight="false" outlineLevel="0" collapsed="false">
      <c r="A311" s="62" t="n">
        <v>45964</v>
      </c>
      <c r="B311" s="63" t="n">
        <v>0</v>
      </c>
      <c r="C311" s="63" t="n">
        <v>0</v>
      </c>
      <c r="D311" s="63" t="n">
        <v>0</v>
      </c>
      <c r="E311" s="63" t="n">
        <v>1</v>
      </c>
      <c r="F311" s="43" t="n">
        <f aca="false">SUM(B311:E311)</f>
        <v>1</v>
      </c>
      <c r="G311" s="60" t="n">
        <f aca="false">DATE(YEAR(A311),MONTH(A311),1)</f>
        <v>45962</v>
      </c>
      <c r="H311" s="63" t="n">
        <v>0</v>
      </c>
      <c r="I311" s="63" t="n">
        <v>8</v>
      </c>
      <c r="J311" s="43" t="n">
        <f aca="false">H311+I311</f>
        <v>8</v>
      </c>
    </row>
    <row r="312" customFormat="false" ht="15" hidden="false" customHeight="false" outlineLevel="0" collapsed="false">
      <c r="A312" s="62" t="n">
        <v>45965</v>
      </c>
      <c r="B312" s="63" t="n">
        <v>0</v>
      </c>
      <c r="C312" s="63" t="n">
        <v>0</v>
      </c>
      <c r="D312" s="63" t="n">
        <v>0</v>
      </c>
      <c r="E312" s="63" t="n">
        <v>3</v>
      </c>
      <c r="F312" s="43" t="n">
        <f aca="false">SUM(B312:E312)</f>
        <v>3</v>
      </c>
      <c r="G312" s="60" t="n">
        <f aca="false">DATE(YEAR(A312),MONTH(A312),1)</f>
        <v>45962</v>
      </c>
      <c r="H312" s="63" t="n">
        <v>0</v>
      </c>
      <c r="I312" s="63" t="n">
        <v>2</v>
      </c>
      <c r="J312" s="43" t="n">
        <f aca="false">H312+I312</f>
        <v>2</v>
      </c>
    </row>
    <row r="313" customFormat="false" ht="15" hidden="false" customHeight="false" outlineLevel="0" collapsed="false">
      <c r="A313" s="62" t="n">
        <v>45966</v>
      </c>
      <c r="B313" s="63" t="n">
        <v>0</v>
      </c>
      <c r="C313" s="63" t="n">
        <v>0</v>
      </c>
      <c r="D313" s="63" t="n">
        <v>0</v>
      </c>
      <c r="E313" s="63" t="n">
        <v>4</v>
      </c>
      <c r="F313" s="43" t="n">
        <f aca="false">SUM(B313:E313)</f>
        <v>4</v>
      </c>
      <c r="G313" s="60" t="n">
        <f aca="false">DATE(YEAR(A313),MONTH(A313),1)</f>
        <v>45962</v>
      </c>
      <c r="H313" s="63" t="n">
        <v>0</v>
      </c>
      <c r="I313" s="63" t="n">
        <v>12</v>
      </c>
      <c r="J313" s="43" t="n">
        <f aca="false">H313+I313</f>
        <v>12</v>
      </c>
    </row>
    <row r="314" customFormat="false" ht="15" hidden="false" customHeight="false" outlineLevel="0" collapsed="false">
      <c r="A314" s="62" t="n">
        <v>45967</v>
      </c>
      <c r="B314" s="63" t="n">
        <v>0</v>
      </c>
      <c r="C314" s="63" t="n">
        <v>0</v>
      </c>
      <c r="D314" s="63" t="n">
        <v>0</v>
      </c>
      <c r="E314" s="63" t="n">
        <v>1</v>
      </c>
      <c r="F314" s="43" t="n">
        <f aca="false">SUM(B314:E314)</f>
        <v>1</v>
      </c>
      <c r="G314" s="60" t="n">
        <f aca="false">DATE(YEAR(A314),MONTH(A314),1)</f>
        <v>45962</v>
      </c>
      <c r="H314" s="63" t="n">
        <v>0</v>
      </c>
      <c r="I314" s="63" t="n">
        <v>2</v>
      </c>
      <c r="J314" s="43" t="n">
        <f aca="false">H314+I314</f>
        <v>2</v>
      </c>
    </row>
    <row r="315" customFormat="false" ht="15" hidden="false" customHeight="false" outlineLevel="0" collapsed="false">
      <c r="A315" s="62" t="n">
        <v>45968</v>
      </c>
      <c r="B315" s="63" t="n">
        <v>0</v>
      </c>
      <c r="C315" s="63" t="n">
        <v>0</v>
      </c>
      <c r="D315" s="63" t="n">
        <v>0</v>
      </c>
      <c r="E315" s="63" t="n">
        <v>0</v>
      </c>
      <c r="F315" s="43" t="n">
        <f aca="false">SUM(B315:E315)</f>
        <v>0</v>
      </c>
      <c r="G315" s="60" t="n">
        <f aca="false">DATE(YEAR(A315),MONTH(A315),1)</f>
        <v>45962</v>
      </c>
      <c r="H315" s="63" t="n">
        <v>0</v>
      </c>
      <c r="I315" s="63" t="n">
        <v>6</v>
      </c>
      <c r="J315" s="43" t="n">
        <f aca="false">H315+I315</f>
        <v>6</v>
      </c>
    </row>
    <row r="316" customFormat="false" ht="15" hidden="false" customHeight="false" outlineLevel="0" collapsed="false">
      <c r="A316" s="62" t="n">
        <v>45969</v>
      </c>
      <c r="B316" s="63" t="n">
        <v>0</v>
      </c>
      <c r="C316" s="63" t="n">
        <v>0</v>
      </c>
      <c r="D316" s="63" t="n">
        <v>0</v>
      </c>
      <c r="E316" s="63" t="n">
        <v>0</v>
      </c>
      <c r="F316" s="43" t="n">
        <f aca="false">SUM(B316:E316)</f>
        <v>0</v>
      </c>
      <c r="G316" s="60" t="n">
        <f aca="false">DATE(YEAR(A316),MONTH(A316),1)</f>
        <v>45962</v>
      </c>
      <c r="H316" s="63" t="n">
        <v>0</v>
      </c>
      <c r="I316" s="63" t="n">
        <v>8</v>
      </c>
      <c r="J316" s="43" t="n">
        <f aca="false">H316+I316</f>
        <v>8</v>
      </c>
    </row>
    <row r="317" customFormat="false" ht="15" hidden="false" customHeight="false" outlineLevel="0" collapsed="false">
      <c r="A317" s="62" t="n">
        <v>45970</v>
      </c>
      <c r="B317" s="63" t="n">
        <v>0</v>
      </c>
      <c r="C317" s="63" t="n">
        <v>0</v>
      </c>
      <c r="D317" s="63" t="n">
        <v>0</v>
      </c>
      <c r="E317" s="63" t="n">
        <v>0</v>
      </c>
      <c r="F317" s="43" t="n">
        <f aca="false">SUM(B317:E317)</f>
        <v>0</v>
      </c>
      <c r="G317" s="60" t="n">
        <f aca="false">DATE(YEAR(A317),MONTH(A317),1)</f>
        <v>45962</v>
      </c>
      <c r="H317" s="63" t="n">
        <v>0</v>
      </c>
      <c r="I317" s="63" t="n">
        <v>3</v>
      </c>
      <c r="J317" s="43" t="n">
        <f aca="false">H317+I317</f>
        <v>3</v>
      </c>
    </row>
    <row r="318" customFormat="false" ht="15" hidden="false" customHeight="false" outlineLevel="0" collapsed="false">
      <c r="A318" s="62" t="n">
        <v>45971</v>
      </c>
      <c r="B318" s="63" t="n">
        <v>0</v>
      </c>
      <c r="C318" s="63" t="n">
        <v>0</v>
      </c>
      <c r="D318" s="63" t="n">
        <v>0</v>
      </c>
      <c r="E318" s="63" t="n">
        <v>2</v>
      </c>
      <c r="F318" s="43" t="n">
        <f aca="false">SUM(B318:E318)</f>
        <v>2</v>
      </c>
      <c r="G318" s="60" t="n">
        <f aca="false">DATE(YEAR(A318),MONTH(A318),1)</f>
        <v>45962</v>
      </c>
      <c r="H318" s="63" t="n">
        <v>0</v>
      </c>
      <c r="I318" s="63" t="n">
        <v>3</v>
      </c>
      <c r="J318" s="43" t="n">
        <f aca="false">H318+I318</f>
        <v>3</v>
      </c>
    </row>
    <row r="319" customFormat="false" ht="15" hidden="false" customHeight="false" outlineLevel="0" collapsed="false">
      <c r="A319" s="62" t="n">
        <v>45972</v>
      </c>
      <c r="B319" s="63" t="n">
        <v>0</v>
      </c>
      <c r="C319" s="63" t="n">
        <v>0</v>
      </c>
      <c r="D319" s="63" t="n">
        <v>0</v>
      </c>
      <c r="E319" s="63" t="n">
        <v>1262</v>
      </c>
      <c r="F319" s="43" t="n">
        <f aca="false">SUM(B319:E319)</f>
        <v>1262</v>
      </c>
      <c r="G319" s="60" t="n">
        <f aca="false">DATE(YEAR(A319),MONTH(A319),1)</f>
        <v>45962</v>
      </c>
      <c r="H319" s="63" t="n">
        <v>0</v>
      </c>
      <c r="I319" s="63" t="n">
        <v>221</v>
      </c>
      <c r="J319" s="43" t="n">
        <f aca="false">H319+I319</f>
        <v>221</v>
      </c>
    </row>
    <row r="320" customFormat="false" ht="15" hidden="false" customHeight="false" outlineLevel="0" collapsed="false">
      <c r="A320" s="62" t="n">
        <v>45973</v>
      </c>
      <c r="B320" s="63" t="n">
        <v>0</v>
      </c>
      <c r="C320" s="63" t="n">
        <v>0</v>
      </c>
      <c r="D320" s="63" t="n">
        <v>0</v>
      </c>
      <c r="E320" s="63" t="n">
        <v>4</v>
      </c>
      <c r="F320" s="43" t="n">
        <f aca="false">SUM(B320:E320)</f>
        <v>4</v>
      </c>
      <c r="G320" s="60" t="n">
        <f aca="false">DATE(YEAR(A320),MONTH(A320),1)</f>
        <v>45962</v>
      </c>
      <c r="H320" s="63" t="n">
        <v>0</v>
      </c>
      <c r="I320" s="63" t="n">
        <v>35</v>
      </c>
      <c r="J320" s="43" t="n">
        <f aca="false">H320+I320</f>
        <v>35</v>
      </c>
    </row>
    <row r="321" customFormat="false" ht="15" hidden="false" customHeight="false" outlineLevel="0" collapsed="false">
      <c r="A321" s="62" t="n">
        <v>45974</v>
      </c>
      <c r="B321" s="63" t="n">
        <v>0</v>
      </c>
      <c r="C321" s="63" t="n">
        <v>0</v>
      </c>
      <c r="D321" s="63" t="n">
        <v>0</v>
      </c>
      <c r="E321" s="63" t="n">
        <v>3077</v>
      </c>
      <c r="F321" s="43" t="n">
        <f aca="false">SUM(B321:E321)</f>
        <v>3077</v>
      </c>
      <c r="G321" s="60" t="n">
        <f aca="false">DATE(YEAR(A321),MONTH(A321),1)</f>
        <v>45962</v>
      </c>
      <c r="H321" s="63" t="n">
        <v>0</v>
      </c>
      <c r="I321" s="63" t="n">
        <v>47</v>
      </c>
      <c r="J321" s="43" t="n">
        <f aca="false">H321+I321</f>
        <v>47</v>
      </c>
    </row>
    <row r="322" customFormat="false" ht="15" hidden="false" customHeight="false" outlineLevel="0" collapsed="false">
      <c r="A322" s="62" t="n">
        <v>45975</v>
      </c>
      <c r="B322" s="63" t="n">
        <v>0</v>
      </c>
      <c r="C322" s="63" t="n">
        <v>0</v>
      </c>
      <c r="D322" s="63" t="n">
        <v>0</v>
      </c>
      <c r="E322" s="63" t="n">
        <v>1323</v>
      </c>
      <c r="F322" s="43" t="n">
        <f aca="false">SUM(B322:E322)</f>
        <v>1323</v>
      </c>
      <c r="G322" s="60" t="n">
        <f aca="false">DATE(YEAR(A322),MONTH(A322),1)</f>
        <v>45962</v>
      </c>
      <c r="H322" s="63" t="n">
        <v>0</v>
      </c>
      <c r="I322" s="63" t="n">
        <v>20</v>
      </c>
      <c r="J322" s="43" t="n">
        <f aca="false">H322+I322</f>
        <v>20</v>
      </c>
    </row>
    <row r="323" customFormat="false" ht="15" hidden="false" customHeight="false" outlineLevel="0" collapsed="false">
      <c r="A323" s="62" t="n">
        <v>45976</v>
      </c>
      <c r="B323" s="63" t="n">
        <v>0</v>
      </c>
      <c r="C323" s="63" t="n">
        <v>0</v>
      </c>
      <c r="D323" s="63" t="n">
        <v>0</v>
      </c>
      <c r="E323" s="63" t="n">
        <v>1</v>
      </c>
      <c r="F323" s="43" t="n">
        <f aca="false">SUM(B323:E323)</f>
        <v>1</v>
      </c>
      <c r="G323" s="60" t="n">
        <f aca="false">DATE(YEAR(A323),MONTH(A323),1)</f>
        <v>45962</v>
      </c>
      <c r="H323" s="63" t="n">
        <v>0</v>
      </c>
      <c r="I323" s="63" t="n">
        <v>0</v>
      </c>
      <c r="J323" s="43" t="n">
        <f aca="false">H323+I323</f>
        <v>0</v>
      </c>
    </row>
    <row r="324" customFormat="false" ht="15" hidden="false" customHeight="false" outlineLevel="0" collapsed="false">
      <c r="A324" s="62" t="n">
        <v>45977</v>
      </c>
      <c r="B324" s="63" t="n">
        <v>0</v>
      </c>
      <c r="C324" s="63" t="n">
        <v>0</v>
      </c>
      <c r="D324" s="63" t="n">
        <v>0</v>
      </c>
      <c r="E324" s="63" t="n">
        <v>0</v>
      </c>
      <c r="F324" s="43" t="n">
        <f aca="false">SUM(B324:E324)</f>
        <v>0</v>
      </c>
      <c r="G324" s="60" t="n">
        <f aca="false">DATE(YEAR(A324),MONTH(A324),1)</f>
        <v>45962</v>
      </c>
      <c r="H324" s="63" t="n">
        <v>0</v>
      </c>
      <c r="I324" s="63" t="n">
        <v>0</v>
      </c>
      <c r="J324" s="43" t="n">
        <f aca="false">H324+I324</f>
        <v>0</v>
      </c>
    </row>
    <row r="325" customFormat="false" ht="15" hidden="false" customHeight="false" outlineLevel="0" collapsed="false">
      <c r="A325" s="62" t="n">
        <v>45978</v>
      </c>
      <c r="B325" s="63" t="n">
        <v>0</v>
      </c>
      <c r="C325" s="63" t="n">
        <v>0</v>
      </c>
      <c r="D325" s="63" t="n">
        <v>0</v>
      </c>
      <c r="E325" s="63" t="n">
        <v>2</v>
      </c>
      <c r="F325" s="43" t="n">
        <f aca="false">SUM(B325:E325)</f>
        <v>2</v>
      </c>
      <c r="G325" s="60" t="n">
        <f aca="false">DATE(YEAR(A325),MONTH(A325),1)</f>
        <v>45962</v>
      </c>
      <c r="H325" s="63" t="n">
        <v>0</v>
      </c>
      <c r="I325" s="63" t="n">
        <v>0</v>
      </c>
      <c r="J325" s="43" t="n">
        <f aca="false">H325+I325</f>
        <v>0</v>
      </c>
    </row>
    <row r="326" customFormat="false" ht="15" hidden="false" customHeight="false" outlineLevel="0" collapsed="false">
      <c r="A326" s="62" t="n">
        <v>45979</v>
      </c>
      <c r="B326" s="63" t="n">
        <v>0</v>
      </c>
      <c r="C326" s="63" t="n">
        <v>0</v>
      </c>
      <c r="D326" s="63" t="n">
        <v>0</v>
      </c>
      <c r="E326" s="63" t="n">
        <v>2</v>
      </c>
      <c r="F326" s="43" t="n">
        <f aca="false">SUM(B326:E326)</f>
        <v>2</v>
      </c>
      <c r="G326" s="60" t="n">
        <f aca="false">DATE(YEAR(A326),MONTH(A326),1)</f>
        <v>45962</v>
      </c>
      <c r="H326" s="63" t="n">
        <v>0</v>
      </c>
      <c r="I326" s="63" t="n">
        <v>2</v>
      </c>
      <c r="J326" s="43" t="n">
        <f aca="false">H326+I326</f>
        <v>2</v>
      </c>
    </row>
    <row r="327" customFormat="false" ht="15" hidden="false" customHeight="false" outlineLevel="0" collapsed="false">
      <c r="A327" s="62" t="n">
        <v>45980</v>
      </c>
      <c r="B327" s="63" t="n">
        <v>0</v>
      </c>
      <c r="C327" s="63" t="n">
        <v>0</v>
      </c>
      <c r="D327" s="63" t="n">
        <v>0</v>
      </c>
      <c r="E327" s="63" t="n">
        <v>0</v>
      </c>
      <c r="F327" s="43" t="n">
        <f aca="false">SUM(B327:E327)</f>
        <v>0</v>
      </c>
      <c r="G327" s="60" t="n">
        <f aca="false">DATE(YEAR(A327),MONTH(A327),1)</f>
        <v>45962</v>
      </c>
      <c r="H327" s="63" t="n">
        <v>0</v>
      </c>
      <c r="I327" s="63" t="n">
        <v>3</v>
      </c>
      <c r="J327" s="43" t="n">
        <f aca="false">H327+I327</f>
        <v>3</v>
      </c>
    </row>
    <row r="328" customFormat="false" ht="15" hidden="false" customHeight="false" outlineLevel="0" collapsed="false">
      <c r="A328" s="62" t="n">
        <v>45981</v>
      </c>
      <c r="B328" s="63" t="n">
        <v>0</v>
      </c>
      <c r="C328" s="63" t="n">
        <v>0</v>
      </c>
      <c r="D328" s="63" t="n">
        <v>0</v>
      </c>
      <c r="E328" s="63" t="n">
        <v>3860</v>
      </c>
      <c r="F328" s="43" t="n">
        <f aca="false">SUM(B328:E328)</f>
        <v>3860</v>
      </c>
      <c r="G328" s="60" t="n">
        <f aca="false">DATE(YEAR(A328),MONTH(A328),1)</f>
        <v>45962</v>
      </c>
      <c r="H328" s="63" t="n">
        <v>0</v>
      </c>
      <c r="I328" s="63" t="n">
        <v>86</v>
      </c>
      <c r="J328" s="43" t="n">
        <f aca="false">H328+I328</f>
        <v>86</v>
      </c>
    </row>
    <row r="329" customFormat="false" ht="15" hidden="false" customHeight="false" outlineLevel="0" collapsed="false">
      <c r="A329" s="62" t="n">
        <v>45982</v>
      </c>
      <c r="B329" s="63" t="n">
        <v>0</v>
      </c>
      <c r="C329" s="63" t="n">
        <v>0</v>
      </c>
      <c r="D329" s="63" t="n">
        <v>0</v>
      </c>
      <c r="E329" s="63" t="n">
        <v>436</v>
      </c>
      <c r="F329" s="43" t="n">
        <f aca="false">SUM(B329:E329)</f>
        <v>436</v>
      </c>
      <c r="G329" s="60" t="n">
        <f aca="false">DATE(YEAR(A329),MONTH(A329),1)</f>
        <v>45962</v>
      </c>
      <c r="H329" s="63" t="n">
        <v>0</v>
      </c>
      <c r="I329" s="63" t="n">
        <v>38</v>
      </c>
      <c r="J329" s="43" t="n">
        <f aca="false">H329+I329</f>
        <v>38</v>
      </c>
    </row>
    <row r="330" customFormat="false" ht="15" hidden="false" customHeight="false" outlineLevel="0" collapsed="false">
      <c r="A330" s="62" t="n">
        <v>45983</v>
      </c>
      <c r="B330" s="63" t="n">
        <v>0</v>
      </c>
      <c r="C330" s="63" t="n">
        <v>0</v>
      </c>
      <c r="D330" s="63" t="n">
        <v>0</v>
      </c>
      <c r="E330" s="63" t="n">
        <v>3</v>
      </c>
      <c r="F330" s="43" t="n">
        <f aca="false">SUM(B330:E330)</f>
        <v>3</v>
      </c>
      <c r="G330" s="60" t="n">
        <f aca="false">DATE(YEAR(A330),MONTH(A330),1)</f>
        <v>45962</v>
      </c>
      <c r="H330" s="63" t="n">
        <v>0</v>
      </c>
      <c r="I330" s="63" t="n">
        <v>9</v>
      </c>
      <c r="J330" s="43" t="n">
        <f aca="false">H330+I330</f>
        <v>9</v>
      </c>
    </row>
    <row r="331" customFormat="false" ht="15" hidden="false" customHeight="false" outlineLevel="0" collapsed="false">
      <c r="A331" s="62" t="n">
        <v>45984</v>
      </c>
      <c r="B331" s="63" t="n">
        <v>0</v>
      </c>
      <c r="C331" s="63" t="n">
        <v>0</v>
      </c>
      <c r="D331" s="63" t="n">
        <v>0</v>
      </c>
      <c r="E331" s="63" t="n">
        <v>4</v>
      </c>
      <c r="F331" s="43" t="n">
        <f aca="false">SUM(B331:E331)</f>
        <v>4</v>
      </c>
      <c r="G331" s="60" t="n">
        <f aca="false">DATE(YEAR(A331),MONTH(A331),1)</f>
        <v>45962</v>
      </c>
      <c r="H331" s="63" t="n">
        <v>0</v>
      </c>
      <c r="I331" s="63" t="n">
        <v>2</v>
      </c>
      <c r="J331" s="43" t="n">
        <f aca="false">H331+I331</f>
        <v>2</v>
      </c>
    </row>
    <row r="332" customFormat="false" ht="15" hidden="false" customHeight="false" outlineLevel="0" collapsed="false">
      <c r="A332" s="62" t="n">
        <v>45985</v>
      </c>
      <c r="B332" s="63" t="n">
        <v>0</v>
      </c>
      <c r="C332" s="63" t="n">
        <v>0</v>
      </c>
      <c r="D332" s="63" t="n">
        <v>0</v>
      </c>
      <c r="E332" s="63" t="n">
        <v>4</v>
      </c>
      <c r="F332" s="43" t="n">
        <f aca="false">SUM(B332:E332)</f>
        <v>4</v>
      </c>
      <c r="G332" s="60" t="n">
        <f aca="false">DATE(YEAR(A332),MONTH(A332),1)</f>
        <v>45962</v>
      </c>
      <c r="H332" s="63" t="n">
        <v>0</v>
      </c>
      <c r="I332" s="63" t="n">
        <v>2</v>
      </c>
      <c r="J332" s="43" t="n">
        <f aca="false">H332+I332</f>
        <v>2</v>
      </c>
    </row>
    <row r="333" customFormat="false" ht="15" hidden="false" customHeight="false" outlineLevel="0" collapsed="false">
      <c r="A333" s="62" t="n">
        <v>45986</v>
      </c>
      <c r="B333" s="63" t="n">
        <v>0</v>
      </c>
      <c r="C333" s="63" t="n">
        <v>0</v>
      </c>
      <c r="D333" s="63" t="n">
        <v>0</v>
      </c>
      <c r="E333" s="63" t="n">
        <v>3694</v>
      </c>
      <c r="F333" s="43" t="n">
        <f aca="false">SUM(B333:E333)</f>
        <v>3694</v>
      </c>
      <c r="G333" s="60" t="n">
        <f aca="false">DATE(YEAR(A333),MONTH(A333),1)</f>
        <v>45962</v>
      </c>
      <c r="H333" s="63" t="n">
        <v>0</v>
      </c>
      <c r="I333" s="63" t="n">
        <v>10</v>
      </c>
      <c r="J333" s="43" t="n">
        <f aca="false">H333+I333</f>
        <v>10</v>
      </c>
    </row>
    <row r="334" customFormat="false" ht="15" hidden="false" customHeight="false" outlineLevel="0" collapsed="false">
      <c r="A334" s="62" t="n">
        <v>45987</v>
      </c>
      <c r="B334" s="63" t="n">
        <v>0</v>
      </c>
      <c r="C334" s="63" t="n">
        <v>0</v>
      </c>
      <c r="D334" s="63" t="n">
        <v>0</v>
      </c>
      <c r="E334" s="63" t="n">
        <v>22</v>
      </c>
      <c r="F334" s="43" t="n">
        <f aca="false">SUM(B334:E334)</f>
        <v>22</v>
      </c>
      <c r="G334" s="60" t="n">
        <f aca="false">DATE(YEAR(A334),MONTH(A334),1)</f>
        <v>45962</v>
      </c>
      <c r="H334" s="63" t="n">
        <v>0</v>
      </c>
      <c r="I334" s="63" t="n">
        <v>2</v>
      </c>
      <c r="J334" s="43" t="n">
        <f aca="false">H334+I334</f>
        <v>2</v>
      </c>
    </row>
    <row r="335" customFormat="false" ht="15" hidden="false" customHeight="false" outlineLevel="0" collapsed="false">
      <c r="A335" s="62" t="n">
        <v>45988</v>
      </c>
      <c r="B335" s="63" t="n">
        <v>0</v>
      </c>
      <c r="C335" s="63" t="n">
        <v>0</v>
      </c>
      <c r="D335" s="63" t="n">
        <v>0</v>
      </c>
      <c r="E335" s="63" t="n">
        <v>5613</v>
      </c>
      <c r="F335" s="43" t="n">
        <f aca="false">SUM(B335:E335)</f>
        <v>5613</v>
      </c>
      <c r="G335" s="60" t="n">
        <f aca="false">DATE(YEAR(A335),MONTH(A335),1)</f>
        <v>45962</v>
      </c>
      <c r="H335" s="63" t="n">
        <v>0</v>
      </c>
      <c r="I335" s="63" t="n">
        <v>633</v>
      </c>
      <c r="J335" s="43" t="n">
        <f aca="false">H335+I335</f>
        <v>633</v>
      </c>
    </row>
    <row r="336" customFormat="false" ht="15" hidden="false" customHeight="false" outlineLevel="0" collapsed="false">
      <c r="A336" s="62" t="n">
        <v>45989</v>
      </c>
      <c r="B336" s="63" t="n">
        <v>0</v>
      </c>
      <c r="C336" s="63" t="n">
        <v>0</v>
      </c>
      <c r="D336" s="63" t="n">
        <v>0</v>
      </c>
      <c r="E336" s="63" t="n">
        <v>2785</v>
      </c>
      <c r="F336" s="43" t="n">
        <f aca="false">SUM(B336:E336)</f>
        <v>2785</v>
      </c>
      <c r="G336" s="60" t="n">
        <f aca="false">DATE(YEAR(A336),MONTH(A336),1)</f>
        <v>45962</v>
      </c>
      <c r="H336" s="63" t="n">
        <v>0</v>
      </c>
      <c r="I336" s="63" t="n">
        <v>203</v>
      </c>
      <c r="J336" s="43" t="n">
        <f aca="false">H336+I336</f>
        <v>203</v>
      </c>
    </row>
    <row r="337" customFormat="false" ht="15" hidden="false" customHeight="false" outlineLevel="0" collapsed="false">
      <c r="A337" s="62" t="n">
        <v>45990</v>
      </c>
      <c r="B337" s="63" t="n">
        <v>0</v>
      </c>
      <c r="C337" s="63" t="n">
        <v>0</v>
      </c>
      <c r="D337" s="63" t="n">
        <v>0</v>
      </c>
      <c r="E337" s="63" t="n">
        <v>1374</v>
      </c>
      <c r="F337" s="43" t="n">
        <f aca="false">SUM(B337:E337)</f>
        <v>1374</v>
      </c>
      <c r="G337" s="60" t="n">
        <f aca="false">DATE(YEAR(A337),MONTH(A337),1)</f>
        <v>45962</v>
      </c>
      <c r="H337" s="63" t="n">
        <v>0</v>
      </c>
      <c r="I337" s="63" t="n">
        <v>49</v>
      </c>
      <c r="J337" s="43" t="n">
        <f aca="false">H337+I337</f>
        <v>49</v>
      </c>
    </row>
    <row r="338" customFormat="false" ht="15" hidden="false" customHeight="false" outlineLevel="0" collapsed="false">
      <c r="A338" s="62" t="n">
        <v>45991</v>
      </c>
      <c r="B338" s="63" t="n">
        <v>0</v>
      </c>
      <c r="C338" s="63" t="n">
        <v>0</v>
      </c>
      <c r="D338" s="63" t="n">
        <v>0</v>
      </c>
      <c r="E338" s="63" t="n">
        <v>10</v>
      </c>
      <c r="F338" s="43" t="n">
        <f aca="false">SUM(B338:E338)</f>
        <v>10</v>
      </c>
      <c r="G338" s="60" t="n">
        <f aca="false">DATE(YEAR(A338),MONTH(A338),1)</f>
        <v>45962</v>
      </c>
      <c r="H338" s="63" t="n">
        <v>0</v>
      </c>
      <c r="I338" s="63" t="n">
        <v>3</v>
      </c>
      <c r="J338" s="43" t="n">
        <f aca="false">H338+I338</f>
        <v>3</v>
      </c>
    </row>
    <row r="339" customFormat="false" ht="15" hidden="false" customHeight="false" outlineLevel="0" collapsed="false">
      <c r="A339" s="62" t="n">
        <v>45992</v>
      </c>
      <c r="B339" s="63" t="n">
        <v>0</v>
      </c>
      <c r="C339" s="63" t="n">
        <v>0</v>
      </c>
      <c r="D339" s="63" t="n">
        <v>0</v>
      </c>
      <c r="E339" s="63" t="n">
        <v>7</v>
      </c>
      <c r="F339" s="43" t="n">
        <f aca="false">SUM(B339:E339)</f>
        <v>7</v>
      </c>
      <c r="G339" s="60" t="n">
        <f aca="false">DATE(YEAR(A339),MONTH(A339),1)</f>
        <v>45992</v>
      </c>
      <c r="H339" s="63" t="n">
        <v>0</v>
      </c>
      <c r="I339" s="63" t="n">
        <v>11</v>
      </c>
      <c r="J339" s="43" t="n">
        <f aca="false">H339+I339</f>
        <v>11</v>
      </c>
    </row>
    <row r="340" customFormat="false" ht="15" hidden="false" customHeight="false" outlineLevel="0" collapsed="false">
      <c r="A340" s="62" t="n">
        <v>45993</v>
      </c>
      <c r="B340" s="63" t="n">
        <v>0</v>
      </c>
      <c r="C340" s="63" t="n">
        <v>0</v>
      </c>
      <c r="D340" s="63" t="n">
        <v>0</v>
      </c>
      <c r="E340" s="63" t="n">
        <v>3</v>
      </c>
      <c r="F340" s="43" t="n">
        <f aca="false">SUM(B340:E340)</f>
        <v>3</v>
      </c>
      <c r="G340" s="60" t="n">
        <f aca="false">DATE(YEAR(A340),MONTH(A340),1)</f>
        <v>45992</v>
      </c>
      <c r="H340" s="63" t="n">
        <v>0</v>
      </c>
      <c r="I340" s="63" t="n">
        <v>8</v>
      </c>
      <c r="J340" s="43" t="n">
        <f aca="false">H340+I340</f>
        <v>8</v>
      </c>
    </row>
    <row r="341" customFormat="false" ht="15" hidden="false" customHeight="false" outlineLevel="0" collapsed="false">
      <c r="A341" s="62" t="n">
        <v>45994</v>
      </c>
      <c r="B341" s="63" t="n">
        <v>0</v>
      </c>
      <c r="C341" s="63" t="n">
        <v>0</v>
      </c>
      <c r="D341" s="63" t="n">
        <v>0</v>
      </c>
      <c r="E341" s="63" t="n">
        <v>2</v>
      </c>
      <c r="F341" s="43" t="n">
        <f aca="false">SUM(B341:E341)</f>
        <v>2</v>
      </c>
      <c r="G341" s="60" t="n">
        <f aca="false">DATE(YEAR(A341),MONTH(A341),1)</f>
        <v>45992</v>
      </c>
      <c r="H341" s="63" t="n">
        <v>0</v>
      </c>
      <c r="I341" s="63" t="n">
        <v>0</v>
      </c>
      <c r="J341" s="43" t="n">
        <f aca="false">H341+I341</f>
        <v>0</v>
      </c>
    </row>
    <row r="342" customFormat="false" ht="15" hidden="false" customHeight="false" outlineLevel="0" collapsed="false">
      <c r="A342" s="62" t="n">
        <v>45995</v>
      </c>
      <c r="B342" s="63" t="n">
        <v>0</v>
      </c>
      <c r="C342" s="63" t="n">
        <v>0</v>
      </c>
      <c r="D342" s="63" t="n">
        <v>0</v>
      </c>
      <c r="E342" s="63" t="n">
        <v>1</v>
      </c>
      <c r="F342" s="43" t="n">
        <f aca="false">SUM(B342:E342)</f>
        <v>1</v>
      </c>
      <c r="G342" s="60" t="n">
        <f aca="false">DATE(YEAR(A342),MONTH(A342),1)</f>
        <v>45992</v>
      </c>
      <c r="H342" s="63" t="n">
        <v>0</v>
      </c>
      <c r="I342" s="63" t="n">
        <v>2</v>
      </c>
      <c r="J342" s="43" t="n">
        <f aca="false">H342+I342</f>
        <v>2</v>
      </c>
    </row>
    <row r="343" customFormat="false" ht="15" hidden="false" customHeight="false" outlineLevel="0" collapsed="false">
      <c r="A343" s="62" t="n">
        <v>45996</v>
      </c>
      <c r="B343" s="63" t="n">
        <v>0</v>
      </c>
      <c r="C343" s="63" t="n">
        <v>0</v>
      </c>
      <c r="D343" s="63" t="n">
        <v>0</v>
      </c>
      <c r="E343" s="63" t="n">
        <v>0</v>
      </c>
      <c r="F343" s="43" t="n">
        <f aca="false">SUM(B343:E343)</f>
        <v>0</v>
      </c>
      <c r="G343" s="60" t="n">
        <f aca="false">DATE(YEAR(A343),MONTH(A343),1)</f>
        <v>45992</v>
      </c>
      <c r="H343" s="63" t="n">
        <v>0</v>
      </c>
      <c r="I343" s="63" t="n">
        <v>4</v>
      </c>
      <c r="J343" s="43" t="n">
        <f aca="false">H343+I343</f>
        <v>4</v>
      </c>
    </row>
    <row r="344" customFormat="false" ht="15" hidden="false" customHeight="false" outlineLevel="0" collapsed="false">
      <c r="A344" s="62" t="n">
        <v>45997</v>
      </c>
      <c r="B344" s="63" t="n">
        <v>0</v>
      </c>
      <c r="C344" s="63" t="n">
        <v>0</v>
      </c>
      <c r="D344" s="63" t="n">
        <v>0</v>
      </c>
      <c r="E344" s="63" t="n">
        <v>1</v>
      </c>
      <c r="F344" s="43" t="n">
        <f aca="false">SUM(B344:E344)</f>
        <v>1</v>
      </c>
      <c r="G344" s="60" t="n">
        <f aca="false">DATE(YEAR(A344),MONTH(A344),1)</f>
        <v>45992</v>
      </c>
      <c r="H344" s="63" t="n">
        <v>0</v>
      </c>
      <c r="I344" s="63" t="n">
        <v>0</v>
      </c>
      <c r="J344" s="43" t="n">
        <f aca="false">H344+I344</f>
        <v>0</v>
      </c>
    </row>
    <row r="345" customFormat="false" ht="15" hidden="false" customHeight="false" outlineLevel="0" collapsed="false">
      <c r="A345" s="62" t="n">
        <v>45998</v>
      </c>
      <c r="B345" s="63" t="n">
        <v>0</v>
      </c>
      <c r="C345" s="63" t="n">
        <v>0</v>
      </c>
      <c r="D345" s="63" t="n">
        <v>0</v>
      </c>
      <c r="E345" s="63" t="n">
        <v>467</v>
      </c>
      <c r="F345" s="43" t="n">
        <f aca="false">SUM(B345:E345)</f>
        <v>467</v>
      </c>
      <c r="G345" s="60" t="n">
        <f aca="false">DATE(YEAR(A345),MONTH(A345),1)</f>
        <v>45992</v>
      </c>
      <c r="H345" s="63" t="n">
        <v>0</v>
      </c>
      <c r="I345" s="63" t="n">
        <v>18</v>
      </c>
      <c r="J345" s="43" t="n">
        <f aca="false">H345+I345</f>
        <v>18</v>
      </c>
    </row>
    <row r="346" customFormat="false" ht="15" hidden="false" customHeight="false" outlineLevel="0" collapsed="false">
      <c r="A346" s="62" t="n">
        <v>45999</v>
      </c>
      <c r="B346" s="63" t="n">
        <v>0</v>
      </c>
      <c r="C346" s="63" t="n">
        <v>0</v>
      </c>
      <c r="D346" s="63" t="n">
        <v>0</v>
      </c>
      <c r="E346" s="63" t="n">
        <v>5344</v>
      </c>
      <c r="F346" s="43" t="n">
        <f aca="false">SUM(B346:E346)</f>
        <v>5344</v>
      </c>
      <c r="G346" s="60" t="n">
        <f aca="false">DATE(YEAR(A346),MONTH(A346),1)</f>
        <v>45992</v>
      </c>
      <c r="H346" s="63" t="n">
        <v>0</v>
      </c>
      <c r="I346" s="63" t="n">
        <v>144</v>
      </c>
      <c r="J346" s="43" t="n">
        <f aca="false">H346+I346</f>
        <v>144</v>
      </c>
    </row>
    <row r="347" customFormat="false" ht="15" hidden="false" customHeight="false" outlineLevel="0" collapsed="false">
      <c r="A347" s="62" t="n">
        <v>46000</v>
      </c>
      <c r="B347" s="63" t="n">
        <v>0</v>
      </c>
      <c r="C347" s="63" t="n">
        <v>0</v>
      </c>
      <c r="D347" s="63" t="n">
        <v>0</v>
      </c>
      <c r="E347" s="63" t="n">
        <v>4004</v>
      </c>
      <c r="F347" s="43" t="n">
        <f aca="false">SUM(B347:E347)</f>
        <v>4004</v>
      </c>
      <c r="G347" s="60" t="n">
        <f aca="false">DATE(YEAR(A347),MONTH(A347),1)</f>
        <v>45992</v>
      </c>
      <c r="H347" s="63" t="n">
        <v>0</v>
      </c>
      <c r="I347" s="63" t="n">
        <v>345</v>
      </c>
      <c r="J347" s="43" t="n">
        <f aca="false">H347+I347</f>
        <v>345</v>
      </c>
    </row>
    <row r="348" customFormat="false" ht="15" hidden="false" customHeight="false" outlineLevel="0" collapsed="false">
      <c r="A348" s="62" t="n">
        <v>46001</v>
      </c>
      <c r="B348" s="63" t="n">
        <v>0</v>
      </c>
      <c r="C348" s="63" t="n">
        <v>0</v>
      </c>
      <c r="D348" s="63" t="n">
        <v>0</v>
      </c>
      <c r="E348" s="63" t="n">
        <v>8543</v>
      </c>
      <c r="F348" s="43" t="n">
        <f aca="false">SUM(B348:E348)</f>
        <v>8543</v>
      </c>
      <c r="G348" s="60" t="n">
        <f aca="false">DATE(YEAR(A348),MONTH(A348),1)</f>
        <v>45992</v>
      </c>
      <c r="H348" s="63" t="n">
        <v>0</v>
      </c>
      <c r="I348" s="63" t="n">
        <v>613</v>
      </c>
      <c r="J348" s="43" t="n">
        <f aca="false">H348+I348</f>
        <v>613</v>
      </c>
    </row>
    <row r="349" customFormat="false" ht="15" hidden="false" customHeight="false" outlineLevel="0" collapsed="false">
      <c r="A349" s="62" t="n">
        <v>46002</v>
      </c>
      <c r="B349" s="63" t="n">
        <v>0</v>
      </c>
      <c r="C349" s="63" t="n">
        <v>0</v>
      </c>
      <c r="D349" s="63" t="n">
        <v>0</v>
      </c>
      <c r="E349" s="63" t="n">
        <v>34</v>
      </c>
      <c r="F349" s="43" t="n">
        <f aca="false">SUM(B349:E349)</f>
        <v>34</v>
      </c>
      <c r="G349" s="60" t="n">
        <f aca="false">DATE(YEAR(A349),MONTH(A349),1)</f>
        <v>45992</v>
      </c>
      <c r="H349" s="63" t="n">
        <v>0</v>
      </c>
      <c r="I349" s="63" t="n">
        <v>175</v>
      </c>
      <c r="J349" s="43" t="n">
        <f aca="false">H349+I349</f>
        <v>175</v>
      </c>
    </row>
    <row r="350" customFormat="false" ht="15" hidden="false" customHeight="false" outlineLevel="0" collapsed="false">
      <c r="A350" s="62" t="n">
        <v>46003</v>
      </c>
      <c r="B350" s="63" t="n">
        <v>0</v>
      </c>
      <c r="C350" s="63" t="n">
        <v>0</v>
      </c>
      <c r="D350" s="63" t="n">
        <v>0</v>
      </c>
      <c r="E350" s="63" t="n">
        <v>1383</v>
      </c>
      <c r="F350" s="43" t="n">
        <f aca="false">SUM(B350:E350)</f>
        <v>1383</v>
      </c>
      <c r="G350" s="60" t="n">
        <f aca="false">DATE(YEAR(A350),MONTH(A350),1)</f>
        <v>45992</v>
      </c>
      <c r="H350" s="63" t="n">
        <v>0</v>
      </c>
      <c r="I350" s="63" t="n">
        <v>78</v>
      </c>
      <c r="J350" s="43" t="n">
        <f aca="false">H350+I350</f>
        <v>78</v>
      </c>
    </row>
    <row r="351" customFormat="false" ht="15" hidden="false" customHeight="false" outlineLevel="0" collapsed="false">
      <c r="A351" s="62" t="n">
        <v>46004</v>
      </c>
      <c r="B351" s="63" t="n">
        <v>0</v>
      </c>
      <c r="C351" s="63" t="n">
        <v>0</v>
      </c>
      <c r="D351" s="63" t="n">
        <v>0</v>
      </c>
      <c r="E351" s="63" t="n">
        <v>1019</v>
      </c>
      <c r="F351" s="43" t="n">
        <f aca="false">SUM(B351:E351)</f>
        <v>1019</v>
      </c>
      <c r="G351" s="60" t="n">
        <f aca="false">DATE(YEAR(A351),MONTH(A351),1)</f>
        <v>45992</v>
      </c>
      <c r="H351" s="63" t="n">
        <v>0</v>
      </c>
      <c r="I351" s="63" t="n">
        <v>44</v>
      </c>
      <c r="J351" s="43" t="n">
        <f aca="false">H351+I351</f>
        <v>44</v>
      </c>
    </row>
    <row r="352" customFormat="false" ht="15" hidden="false" customHeight="false" outlineLevel="0" collapsed="false">
      <c r="A352" s="62" t="n">
        <v>46005</v>
      </c>
      <c r="B352" s="63" t="n">
        <v>0</v>
      </c>
      <c r="C352" s="63" t="n">
        <v>0</v>
      </c>
      <c r="D352" s="63" t="n">
        <v>0</v>
      </c>
      <c r="E352" s="63" t="n">
        <v>6</v>
      </c>
      <c r="F352" s="43" t="n">
        <f aca="false">SUM(B352:E352)</f>
        <v>6</v>
      </c>
      <c r="G352" s="60" t="n">
        <f aca="false">DATE(YEAR(A352),MONTH(A352),1)</f>
        <v>45992</v>
      </c>
      <c r="H352" s="63" t="n">
        <v>0</v>
      </c>
      <c r="I352" s="63" t="n">
        <v>4</v>
      </c>
      <c r="J352" s="43" t="n">
        <f aca="false">H352+I352</f>
        <v>4</v>
      </c>
    </row>
    <row r="353" customFormat="false" ht="15" hidden="false" customHeight="false" outlineLevel="0" collapsed="false">
      <c r="A353" s="62" t="n">
        <v>46006</v>
      </c>
      <c r="B353" s="63" t="n">
        <v>0</v>
      </c>
      <c r="C353" s="63" t="n">
        <v>0</v>
      </c>
      <c r="D353" s="63" t="n">
        <v>0</v>
      </c>
      <c r="E353" s="63" t="n">
        <v>17037</v>
      </c>
      <c r="F353" s="43" t="n">
        <f aca="false">SUM(B353:E353)</f>
        <v>17037</v>
      </c>
      <c r="G353" s="60" t="n">
        <f aca="false">DATE(YEAR(A353),MONTH(A353),1)</f>
        <v>45992</v>
      </c>
      <c r="H353" s="63" t="n">
        <v>0</v>
      </c>
      <c r="I353" s="63" t="n">
        <v>96</v>
      </c>
      <c r="J353" s="43" t="n">
        <f aca="false">H353+I353</f>
        <v>96</v>
      </c>
    </row>
    <row r="354" customFormat="false" ht="15" hidden="false" customHeight="false" outlineLevel="0" collapsed="false">
      <c r="A354" s="62" t="n">
        <v>46007</v>
      </c>
      <c r="B354" s="63" t="n">
        <v>0</v>
      </c>
      <c r="C354" s="63" t="n">
        <v>0</v>
      </c>
      <c r="D354" s="63" t="n">
        <v>0</v>
      </c>
      <c r="E354" s="63" t="n">
        <v>1716</v>
      </c>
      <c r="F354" s="43" t="n">
        <f aca="false">SUM(B354:E354)</f>
        <v>1716</v>
      </c>
      <c r="G354" s="60" t="n">
        <f aca="false">DATE(YEAR(A354),MONTH(A354),1)</f>
        <v>45992</v>
      </c>
      <c r="H354" s="63" t="n">
        <v>0</v>
      </c>
      <c r="I354" s="63" t="n">
        <v>705</v>
      </c>
      <c r="J354" s="43" t="n">
        <f aca="false">H354+I354</f>
        <v>705</v>
      </c>
    </row>
    <row r="355" customFormat="false" ht="15" hidden="false" customHeight="false" outlineLevel="0" collapsed="false">
      <c r="A355" s="62" t="n">
        <v>46008</v>
      </c>
      <c r="B355" s="63" t="n">
        <v>0</v>
      </c>
      <c r="C355" s="63" t="n">
        <v>0</v>
      </c>
      <c r="D355" s="63" t="n">
        <v>0</v>
      </c>
      <c r="E355" s="63" t="n">
        <v>1600</v>
      </c>
      <c r="F355" s="43" t="n">
        <f aca="false">SUM(B355:E355)</f>
        <v>1600</v>
      </c>
      <c r="G355" s="60" t="n">
        <f aca="false">DATE(YEAR(A355),MONTH(A355),1)</f>
        <v>45992</v>
      </c>
      <c r="H355" s="63" t="n">
        <v>0</v>
      </c>
      <c r="I355" s="63" t="n">
        <v>133</v>
      </c>
      <c r="J355" s="43" t="n">
        <f aca="false">H355+I355</f>
        <v>133</v>
      </c>
    </row>
    <row r="356" customFormat="false" ht="15" hidden="false" customHeight="false" outlineLevel="0" collapsed="false">
      <c r="A356" s="62" t="n">
        <v>46009</v>
      </c>
      <c r="B356" s="63" t="n">
        <v>0</v>
      </c>
      <c r="C356" s="63" t="n">
        <v>0</v>
      </c>
      <c r="D356" s="63" t="n">
        <v>0</v>
      </c>
      <c r="E356" s="63" t="n">
        <v>8</v>
      </c>
      <c r="F356" s="43" t="n">
        <f aca="false">SUM(B356:E356)</f>
        <v>8</v>
      </c>
      <c r="G356" s="60" t="n">
        <f aca="false">DATE(YEAR(A356),MONTH(A356),1)</f>
        <v>45992</v>
      </c>
      <c r="H356" s="63" t="n">
        <v>0</v>
      </c>
      <c r="I356" s="63" t="n">
        <v>14</v>
      </c>
      <c r="J356" s="43" t="n">
        <f aca="false">H356+I356</f>
        <v>14</v>
      </c>
    </row>
    <row r="357" customFormat="false" ht="15" hidden="false" customHeight="false" outlineLevel="0" collapsed="false">
      <c r="A357" s="62" t="n">
        <v>46010</v>
      </c>
      <c r="B357" s="63" t="n">
        <v>0</v>
      </c>
      <c r="C357" s="63" t="n">
        <v>0</v>
      </c>
      <c r="D357" s="63" t="n">
        <v>0</v>
      </c>
      <c r="E357" s="63" t="n">
        <v>2</v>
      </c>
      <c r="F357" s="43" t="n">
        <f aca="false">SUM(B357:E357)</f>
        <v>2</v>
      </c>
      <c r="G357" s="60" t="n">
        <f aca="false">DATE(YEAR(A357),MONTH(A357),1)</f>
        <v>45992</v>
      </c>
      <c r="H357" s="63" t="n">
        <v>0</v>
      </c>
      <c r="I357" s="63" t="n">
        <v>17</v>
      </c>
      <c r="J357" s="43" t="n">
        <f aca="false">H357+I357</f>
        <v>17</v>
      </c>
    </row>
    <row r="358" customFormat="false" ht="15" hidden="false" customHeight="false" outlineLevel="0" collapsed="false">
      <c r="A358" s="62" t="n">
        <v>46011</v>
      </c>
      <c r="B358" s="63" t="n">
        <v>0</v>
      </c>
      <c r="C358" s="63" t="n">
        <v>0</v>
      </c>
      <c r="D358" s="63" t="n">
        <v>0</v>
      </c>
      <c r="E358" s="63" t="n">
        <v>6</v>
      </c>
      <c r="F358" s="43" t="n">
        <f aca="false">SUM(B358:E358)</f>
        <v>6</v>
      </c>
      <c r="G358" s="60" t="n">
        <f aca="false">DATE(YEAR(A358),MONTH(A358),1)</f>
        <v>45992</v>
      </c>
      <c r="H358" s="63" t="n">
        <v>0</v>
      </c>
      <c r="I358" s="63" t="n">
        <v>4</v>
      </c>
      <c r="J358" s="43" t="n">
        <f aca="false">H358+I358</f>
        <v>4</v>
      </c>
    </row>
    <row r="359" customFormat="false" ht="15" hidden="false" customHeight="false" outlineLevel="0" collapsed="false">
      <c r="A359" s="62" t="n">
        <v>46012</v>
      </c>
      <c r="B359" s="63" t="n">
        <v>0</v>
      </c>
      <c r="C359" s="63" t="n">
        <v>0</v>
      </c>
      <c r="D359" s="63" t="n">
        <v>0</v>
      </c>
      <c r="E359" s="63" t="n">
        <v>3</v>
      </c>
      <c r="F359" s="43" t="n">
        <f aca="false">SUM(B359:E359)</f>
        <v>3</v>
      </c>
      <c r="G359" s="60" t="n">
        <f aca="false">DATE(YEAR(A359),MONTH(A359),1)</f>
        <v>45992</v>
      </c>
      <c r="H359" s="63" t="n">
        <v>0</v>
      </c>
      <c r="I359" s="63" t="n">
        <v>1</v>
      </c>
      <c r="J359" s="43" t="n">
        <f aca="false">H359+I359</f>
        <v>1</v>
      </c>
    </row>
    <row r="360" customFormat="false" ht="15" hidden="false" customHeight="false" outlineLevel="0" collapsed="false">
      <c r="A360" s="62" t="n">
        <v>46013</v>
      </c>
      <c r="B360" s="63" t="n">
        <v>0</v>
      </c>
      <c r="C360" s="63" t="n">
        <v>0</v>
      </c>
      <c r="D360" s="63" t="n">
        <v>0</v>
      </c>
      <c r="E360" s="63" t="n">
        <v>1</v>
      </c>
      <c r="F360" s="43" t="n">
        <f aca="false">SUM(B360:E360)</f>
        <v>1</v>
      </c>
      <c r="G360" s="60" t="n">
        <f aca="false">DATE(YEAR(A360),MONTH(A360),1)</f>
        <v>45992</v>
      </c>
      <c r="H360" s="63" t="n">
        <v>0</v>
      </c>
      <c r="I360" s="63" t="n">
        <v>3</v>
      </c>
      <c r="J360" s="43" t="n">
        <f aca="false">H360+I360</f>
        <v>3</v>
      </c>
    </row>
    <row r="361" customFormat="false" ht="15" hidden="false" customHeight="false" outlineLevel="0" collapsed="false">
      <c r="A361" s="62" t="n">
        <v>46014</v>
      </c>
      <c r="B361" s="63" t="n">
        <v>0</v>
      </c>
      <c r="C361" s="63" t="n">
        <v>0</v>
      </c>
      <c r="D361" s="63" t="n">
        <v>0</v>
      </c>
      <c r="E361" s="63" t="n">
        <v>1</v>
      </c>
      <c r="F361" s="43" t="n">
        <f aca="false">SUM(B361:E361)</f>
        <v>1</v>
      </c>
      <c r="G361" s="60" t="n">
        <f aca="false">DATE(YEAR(A361),MONTH(A361),1)</f>
        <v>45992</v>
      </c>
      <c r="H361" s="63" t="n">
        <v>0</v>
      </c>
      <c r="I361" s="63" t="n">
        <v>13</v>
      </c>
      <c r="J361" s="43" t="n">
        <f aca="false">H361+I361</f>
        <v>13</v>
      </c>
    </row>
    <row r="362" customFormat="false" ht="15" hidden="false" customHeight="false" outlineLevel="0" collapsed="false">
      <c r="A362" s="62" t="n">
        <v>46015</v>
      </c>
      <c r="B362" s="63" t="n">
        <v>0</v>
      </c>
      <c r="C362" s="63" t="n">
        <v>0</v>
      </c>
      <c r="D362" s="63" t="n">
        <v>0</v>
      </c>
      <c r="E362" s="63" t="n">
        <v>3</v>
      </c>
      <c r="F362" s="43" t="n">
        <f aca="false">SUM(B362:E362)</f>
        <v>3</v>
      </c>
      <c r="G362" s="60" t="n">
        <f aca="false">DATE(YEAR(A362),MONTH(A362),1)</f>
        <v>45992</v>
      </c>
      <c r="H362" s="63" t="n">
        <v>0</v>
      </c>
      <c r="I362" s="63" t="n">
        <v>14</v>
      </c>
      <c r="J362" s="43" t="n">
        <f aca="false">H362+I362</f>
        <v>14</v>
      </c>
    </row>
    <row r="363" customFormat="false" ht="15" hidden="false" customHeight="false" outlineLevel="0" collapsed="false">
      <c r="A363" s="62" t="n">
        <v>46016</v>
      </c>
      <c r="B363" s="63" t="n">
        <v>0</v>
      </c>
      <c r="C363" s="63" t="n">
        <v>0</v>
      </c>
      <c r="D363" s="63" t="n">
        <v>0</v>
      </c>
      <c r="E363" s="63" t="n">
        <v>0</v>
      </c>
      <c r="F363" s="43" t="n">
        <f aca="false">SUM(B363:E363)</f>
        <v>0</v>
      </c>
      <c r="G363" s="60" t="n">
        <f aca="false">DATE(YEAR(A363),MONTH(A363),1)</f>
        <v>45992</v>
      </c>
      <c r="H363" s="63" t="n">
        <v>0</v>
      </c>
      <c r="I363" s="63" t="n">
        <v>1</v>
      </c>
      <c r="J363" s="43" t="n">
        <f aca="false">H363+I363</f>
        <v>1</v>
      </c>
    </row>
    <row r="364" customFormat="false" ht="15" hidden="false" customHeight="false" outlineLevel="0" collapsed="false">
      <c r="A364" s="62" t="n">
        <v>46017</v>
      </c>
      <c r="B364" s="63" t="n">
        <v>0</v>
      </c>
      <c r="C364" s="63" t="n">
        <v>0</v>
      </c>
      <c r="D364" s="63" t="n">
        <v>0</v>
      </c>
      <c r="E364" s="63" t="n">
        <v>12002</v>
      </c>
      <c r="F364" s="43" t="n">
        <f aca="false">SUM(B364:E364)</f>
        <v>12002</v>
      </c>
      <c r="G364" s="60" t="n">
        <f aca="false">DATE(YEAR(A364),MONTH(A364),1)</f>
        <v>45992</v>
      </c>
      <c r="H364" s="63" t="n">
        <v>0</v>
      </c>
      <c r="I364" s="63" t="n">
        <v>565</v>
      </c>
      <c r="J364" s="43" t="n">
        <f aca="false">H364+I364</f>
        <v>565</v>
      </c>
    </row>
    <row r="365" customFormat="false" ht="15" hidden="false" customHeight="false" outlineLevel="0" collapsed="false">
      <c r="A365" s="62" t="n">
        <v>46018</v>
      </c>
      <c r="B365" s="63" t="n">
        <v>0</v>
      </c>
      <c r="C365" s="63" t="n">
        <v>0</v>
      </c>
      <c r="D365" s="63" t="n">
        <v>0</v>
      </c>
      <c r="E365" s="63" t="n">
        <v>32</v>
      </c>
      <c r="F365" s="43" t="n">
        <f aca="false">SUM(B365:E365)</f>
        <v>32</v>
      </c>
      <c r="G365" s="60" t="n">
        <f aca="false">DATE(YEAR(A365),MONTH(A365),1)</f>
        <v>45992</v>
      </c>
      <c r="H365" s="63" t="n">
        <v>0</v>
      </c>
      <c r="I365" s="63" t="n">
        <v>23</v>
      </c>
      <c r="J365" s="43" t="n">
        <f aca="false">H365+I365</f>
        <v>23</v>
      </c>
    </row>
    <row r="366" customFormat="false" ht="15" hidden="false" customHeight="false" outlineLevel="0" collapsed="false">
      <c r="A366" s="62" t="n">
        <v>46019</v>
      </c>
      <c r="B366" s="63" t="n">
        <v>0</v>
      </c>
      <c r="C366" s="63" t="n">
        <v>0</v>
      </c>
      <c r="D366" s="63" t="n">
        <v>0</v>
      </c>
      <c r="E366" s="63" t="n">
        <v>3</v>
      </c>
      <c r="F366" s="43" t="n">
        <f aca="false">SUM(B366:E366)</f>
        <v>3</v>
      </c>
      <c r="G366" s="60" t="n">
        <f aca="false">DATE(YEAR(A366),MONTH(A366),1)</f>
        <v>45992</v>
      </c>
      <c r="H366" s="63" t="n">
        <v>0</v>
      </c>
      <c r="I366" s="63" t="n">
        <v>0</v>
      </c>
      <c r="J366" s="43" t="n">
        <f aca="false">H366+I366</f>
        <v>0</v>
      </c>
    </row>
    <row r="367" customFormat="false" ht="15" hidden="false" customHeight="false" outlineLevel="0" collapsed="false">
      <c r="A367" s="62" t="n">
        <v>46020</v>
      </c>
      <c r="B367" s="63" t="n">
        <v>0</v>
      </c>
      <c r="C367" s="63" t="n">
        <v>0</v>
      </c>
      <c r="D367" s="63" t="n">
        <v>0</v>
      </c>
      <c r="E367" s="63" t="n">
        <v>4132</v>
      </c>
      <c r="F367" s="43" t="n">
        <f aca="false">SUM(B367:E367)</f>
        <v>4132</v>
      </c>
      <c r="G367" s="60" t="n">
        <f aca="false">DATE(YEAR(A367),MONTH(A367),1)</f>
        <v>45992</v>
      </c>
      <c r="H367" s="63" t="n">
        <v>0</v>
      </c>
      <c r="I367" s="63" t="n">
        <v>357</v>
      </c>
      <c r="J367" s="43" t="n">
        <f aca="false">H367+I367</f>
        <v>357</v>
      </c>
    </row>
    <row r="368" customFormat="false" ht="15" hidden="false" customHeight="false" outlineLevel="0" collapsed="false">
      <c r="A368" s="62" t="n">
        <v>46021</v>
      </c>
      <c r="B368" s="63" t="n">
        <v>0</v>
      </c>
      <c r="C368" s="63" t="n">
        <v>0</v>
      </c>
      <c r="D368" s="63" t="n">
        <v>0</v>
      </c>
      <c r="E368" s="63" t="n">
        <v>25</v>
      </c>
      <c r="F368" s="43" t="n">
        <f aca="false">SUM(B368:E368)</f>
        <v>25</v>
      </c>
      <c r="G368" s="60" t="n">
        <f aca="false">DATE(YEAR(A368),MONTH(A368),1)</f>
        <v>45992</v>
      </c>
      <c r="H368" s="63" t="n">
        <v>0</v>
      </c>
      <c r="I368" s="63" t="n">
        <v>142</v>
      </c>
      <c r="J368" s="43" t="n">
        <f aca="false">H368+I368</f>
        <v>142</v>
      </c>
    </row>
    <row r="369" customFormat="false" ht="15" hidden="false" customHeight="false" outlineLevel="0" collapsed="false">
      <c r="A369" s="62" t="n">
        <v>46022</v>
      </c>
      <c r="B369" s="63" t="n">
        <v>0</v>
      </c>
      <c r="C369" s="63" t="n">
        <v>0</v>
      </c>
      <c r="D369" s="63" t="n">
        <v>0</v>
      </c>
      <c r="E369" s="63" t="n">
        <v>1</v>
      </c>
      <c r="F369" s="43" t="n">
        <f aca="false">SUM(B369:E369)</f>
        <v>1</v>
      </c>
      <c r="G369" s="60" t="n">
        <f aca="false">DATE(YEAR(A369),MONTH(A369),1)</f>
        <v>45992</v>
      </c>
      <c r="H369" s="63" t="n">
        <v>0</v>
      </c>
      <c r="I369" s="63" t="n">
        <v>10</v>
      </c>
      <c r="J369" s="43" t="n">
        <f aca="false">H369+I369</f>
        <v>10</v>
      </c>
    </row>
    <row r="370" customFormat="false" ht="15" hidden="false" customHeight="false" outlineLevel="0" collapsed="false">
      <c r="A370" s="62" t="n">
        <v>46023</v>
      </c>
      <c r="B370" s="63" t="n">
        <v>0</v>
      </c>
      <c r="C370" s="63" t="n">
        <v>0</v>
      </c>
      <c r="D370" s="63" t="n">
        <v>0</v>
      </c>
      <c r="E370" s="63" t="n">
        <v>4</v>
      </c>
      <c r="F370" s="43" t="n">
        <f aca="false">SUM(B370:E370)</f>
        <v>4</v>
      </c>
      <c r="G370" s="60" t="n">
        <f aca="false">DATE(YEAR(A370),MONTH(A370),1)</f>
        <v>46023</v>
      </c>
      <c r="H370" s="63" t="n">
        <v>0</v>
      </c>
      <c r="I370" s="63" t="n">
        <v>3</v>
      </c>
      <c r="J370" s="43" t="n">
        <f aca="false">H370+I370</f>
        <v>3</v>
      </c>
    </row>
    <row r="371" customFormat="false" ht="15" hidden="false" customHeight="false" outlineLevel="0" collapsed="false">
      <c r="A371" s="62" t="n">
        <v>46024</v>
      </c>
      <c r="B371" s="63" t="n">
        <v>0</v>
      </c>
      <c r="C371" s="63" t="n">
        <v>0</v>
      </c>
      <c r="D371" s="63" t="n">
        <v>0</v>
      </c>
      <c r="E371" s="63" t="n">
        <v>296</v>
      </c>
      <c r="F371" s="43" t="n">
        <f aca="false">SUM(B371:E371)</f>
        <v>296</v>
      </c>
      <c r="G371" s="60" t="n">
        <f aca="false">DATE(YEAR(A371),MONTH(A371),1)</f>
        <v>46023</v>
      </c>
      <c r="H371" s="63" t="n">
        <v>0</v>
      </c>
      <c r="I371" s="63" t="n">
        <v>69</v>
      </c>
      <c r="J371" s="43" t="n">
        <f aca="false">H371+I371</f>
        <v>69</v>
      </c>
    </row>
    <row r="372" customFormat="false" ht="15" hidden="false" customHeight="false" outlineLevel="0" collapsed="false">
      <c r="A372" s="62" t="n">
        <v>46025</v>
      </c>
      <c r="B372" s="63" t="n">
        <v>0</v>
      </c>
      <c r="C372" s="63" t="n">
        <v>0</v>
      </c>
      <c r="D372" s="63" t="n">
        <v>0</v>
      </c>
      <c r="E372" s="63" t="n">
        <v>2</v>
      </c>
      <c r="F372" s="43" t="n">
        <f aca="false">SUM(B372:E372)</f>
        <v>2</v>
      </c>
      <c r="G372" s="60" t="n">
        <f aca="false">DATE(YEAR(A372),MONTH(A372),1)</f>
        <v>46023</v>
      </c>
      <c r="H372" s="63" t="n">
        <v>0</v>
      </c>
      <c r="I372" s="63" t="n">
        <v>3</v>
      </c>
      <c r="J372" s="43" t="n">
        <f aca="false">H372+I372</f>
        <v>3</v>
      </c>
    </row>
    <row r="373" customFormat="false" ht="15" hidden="false" customHeight="false" outlineLevel="0" collapsed="false">
      <c r="A373" s="62" t="n">
        <v>46026</v>
      </c>
      <c r="B373" s="63" t="n">
        <v>0</v>
      </c>
      <c r="C373" s="63" t="n">
        <v>0</v>
      </c>
      <c r="D373" s="63" t="n">
        <v>0</v>
      </c>
      <c r="E373" s="63" t="n">
        <v>4</v>
      </c>
      <c r="F373" s="43" t="n">
        <f aca="false">SUM(B373:E373)</f>
        <v>4</v>
      </c>
      <c r="G373" s="60" t="n">
        <f aca="false">DATE(YEAR(A373),MONTH(A373),1)</f>
        <v>46023</v>
      </c>
      <c r="H373" s="63" t="n">
        <v>0</v>
      </c>
      <c r="I373" s="63" t="n">
        <v>3</v>
      </c>
      <c r="J373" s="43" t="n">
        <f aca="false">H373+I373</f>
        <v>3</v>
      </c>
    </row>
    <row r="374" customFormat="false" ht="15" hidden="false" customHeight="false" outlineLevel="0" collapsed="false">
      <c r="A374" s="62" t="n">
        <v>46027</v>
      </c>
      <c r="B374" s="63" t="n">
        <v>0</v>
      </c>
      <c r="C374" s="63" t="n">
        <v>0</v>
      </c>
      <c r="D374" s="63" t="n">
        <v>0</v>
      </c>
      <c r="E374" s="63" t="n">
        <v>7115</v>
      </c>
      <c r="F374" s="43" t="n">
        <f aca="false">SUM(B374:E374)</f>
        <v>7115</v>
      </c>
      <c r="G374" s="60" t="n">
        <f aca="false">DATE(YEAR(A374),MONTH(A374),1)</f>
        <v>46023</v>
      </c>
      <c r="H374" s="63" t="n">
        <v>0</v>
      </c>
      <c r="I374" s="63" t="n">
        <v>180</v>
      </c>
      <c r="J374" s="43" t="n">
        <f aca="false">H374+I374</f>
        <v>180</v>
      </c>
    </row>
    <row r="375" customFormat="false" ht="15" hidden="false" customHeight="false" outlineLevel="0" collapsed="false">
      <c r="A375" s="62" t="n">
        <v>46028</v>
      </c>
      <c r="B375" s="63" t="n">
        <v>0</v>
      </c>
      <c r="C375" s="63" t="n">
        <v>0</v>
      </c>
      <c r="D375" s="63" t="n">
        <v>0</v>
      </c>
      <c r="E375" s="63" t="n">
        <v>16</v>
      </c>
      <c r="F375" s="43" t="n">
        <f aca="false">SUM(B375:E375)</f>
        <v>16</v>
      </c>
      <c r="G375" s="60" t="n">
        <f aca="false">DATE(YEAR(A375),MONTH(A375),1)</f>
        <v>46023</v>
      </c>
      <c r="H375" s="63" t="n">
        <v>0</v>
      </c>
      <c r="I375" s="63" t="n">
        <v>17</v>
      </c>
      <c r="J375" s="43" t="n">
        <f aca="false">H375+I375</f>
        <v>17</v>
      </c>
    </row>
    <row r="376" customFormat="false" ht="15" hidden="false" customHeight="false" outlineLevel="0" collapsed="false">
      <c r="A376" s="62" t="n">
        <v>46029</v>
      </c>
      <c r="B376" s="63" t="n">
        <v>0</v>
      </c>
      <c r="C376" s="63" t="n">
        <v>0</v>
      </c>
      <c r="D376" s="63" t="n">
        <v>0</v>
      </c>
      <c r="E376" s="63" t="n">
        <v>3595</v>
      </c>
      <c r="F376" s="43" t="n">
        <f aca="false">SUM(B376:E376)</f>
        <v>3595</v>
      </c>
      <c r="G376" s="60" t="n">
        <f aca="false">DATE(YEAR(A376),MONTH(A376),1)</f>
        <v>46023</v>
      </c>
      <c r="H376" s="63" t="n">
        <v>0</v>
      </c>
      <c r="I376" s="63" t="n">
        <v>215</v>
      </c>
      <c r="J376" s="43" t="n">
        <f aca="false">H376+I376</f>
        <v>215</v>
      </c>
    </row>
    <row r="377" customFormat="false" ht="15" hidden="false" customHeight="false" outlineLevel="0" collapsed="false">
      <c r="A377" s="62" t="n">
        <v>46030</v>
      </c>
      <c r="B377" s="63" t="n">
        <v>0</v>
      </c>
      <c r="C377" s="63" t="n">
        <v>0</v>
      </c>
      <c r="D377" s="63" t="n">
        <v>0</v>
      </c>
      <c r="E377" s="63" t="n">
        <v>3619</v>
      </c>
      <c r="F377" s="43" t="n">
        <f aca="false">SUM(B377:E377)</f>
        <v>3619</v>
      </c>
      <c r="G377" s="60" t="n">
        <f aca="false">DATE(YEAR(A377),MONTH(A377),1)</f>
        <v>46023</v>
      </c>
      <c r="H377" s="63" t="n">
        <v>0</v>
      </c>
      <c r="I377" s="63" t="n">
        <v>599</v>
      </c>
      <c r="J377" s="43" t="n">
        <f aca="false">H377+I377</f>
        <v>599</v>
      </c>
    </row>
    <row r="378" customFormat="false" ht="15" hidden="false" customHeight="false" outlineLevel="0" collapsed="false">
      <c r="A378" s="62" t="n">
        <v>46031</v>
      </c>
      <c r="B378" s="63" t="n">
        <v>0</v>
      </c>
      <c r="C378" s="63" t="n">
        <v>0</v>
      </c>
      <c r="D378" s="63" t="n">
        <v>0</v>
      </c>
      <c r="E378" s="63" t="n">
        <v>3570</v>
      </c>
      <c r="F378" s="43" t="n">
        <f aca="false">SUM(B378:E378)</f>
        <v>3570</v>
      </c>
      <c r="G378" s="60" t="n">
        <f aca="false">DATE(YEAR(A378),MONTH(A378),1)</f>
        <v>46023</v>
      </c>
      <c r="H378" s="63" t="n">
        <v>0</v>
      </c>
      <c r="I378" s="63" t="n">
        <v>275</v>
      </c>
      <c r="J378" s="43" t="n">
        <f aca="false">H378+I378</f>
        <v>275</v>
      </c>
    </row>
    <row r="379" customFormat="false" ht="15" hidden="false" customHeight="false" outlineLevel="0" collapsed="false">
      <c r="A379" s="62" t="n">
        <v>46032</v>
      </c>
      <c r="B379" s="63" t="n">
        <v>0</v>
      </c>
      <c r="C379" s="63" t="n">
        <v>0</v>
      </c>
      <c r="D379" s="63" t="n">
        <v>0</v>
      </c>
      <c r="E379" s="63" t="n">
        <v>245</v>
      </c>
      <c r="F379" s="43" t="n">
        <f aca="false">SUM(B379:E379)</f>
        <v>245</v>
      </c>
      <c r="G379" s="60" t="n">
        <f aca="false">DATE(YEAR(A379),MONTH(A379),1)</f>
        <v>46023</v>
      </c>
      <c r="H379" s="63" t="n">
        <v>0</v>
      </c>
      <c r="I379" s="63" t="n">
        <v>8</v>
      </c>
      <c r="J379" s="43" t="n">
        <f aca="false">H379+I379</f>
        <v>8</v>
      </c>
    </row>
    <row r="380" customFormat="false" ht="15" hidden="false" customHeight="false" outlineLevel="0" collapsed="false">
      <c r="A380" s="62" t="n">
        <v>46033</v>
      </c>
      <c r="B380" s="63" t="n">
        <v>0</v>
      </c>
      <c r="C380" s="63" t="n">
        <v>0</v>
      </c>
      <c r="D380" s="63" t="n">
        <v>0</v>
      </c>
      <c r="E380" s="63" t="n">
        <v>3</v>
      </c>
      <c r="F380" s="43" t="n">
        <f aca="false">SUM(B380:E380)</f>
        <v>3</v>
      </c>
      <c r="G380" s="60" t="n">
        <f aca="false">DATE(YEAR(A380),MONTH(A380),1)</f>
        <v>46023</v>
      </c>
      <c r="H380" s="63" t="n">
        <v>0</v>
      </c>
      <c r="I380" s="63" t="n">
        <v>0</v>
      </c>
      <c r="J380" s="43" t="n">
        <f aca="false">H380+I380</f>
        <v>0</v>
      </c>
    </row>
    <row r="381" customFormat="false" ht="15" hidden="false" customHeight="false" outlineLevel="0" collapsed="false">
      <c r="A381" s="62" t="n">
        <v>46034</v>
      </c>
      <c r="B381" s="63" t="n">
        <v>0</v>
      </c>
      <c r="C381" s="63" t="n">
        <v>0</v>
      </c>
      <c r="D381" s="63" t="n">
        <v>0</v>
      </c>
      <c r="E381" s="63" t="n">
        <v>2311</v>
      </c>
      <c r="F381" s="43" t="n">
        <f aca="false">SUM(B381:E381)</f>
        <v>2311</v>
      </c>
      <c r="G381" s="60" t="n">
        <f aca="false">DATE(YEAR(A381),MONTH(A381),1)</f>
        <v>46023</v>
      </c>
      <c r="H381" s="63" t="n">
        <v>0</v>
      </c>
      <c r="I381" s="63" t="n">
        <v>128</v>
      </c>
      <c r="J381" s="43" t="n">
        <f aca="false">H381+I381</f>
        <v>128</v>
      </c>
    </row>
    <row r="382" customFormat="false" ht="15" hidden="false" customHeight="false" outlineLevel="0" collapsed="false">
      <c r="A382" s="62" t="n">
        <v>46035</v>
      </c>
      <c r="B382" s="63" t="n">
        <v>0</v>
      </c>
      <c r="C382" s="63" t="n">
        <v>0</v>
      </c>
      <c r="D382" s="63" t="n">
        <v>0</v>
      </c>
      <c r="E382" s="63" t="n">
        <v>5040</v>
      </c>
      <c r="F382" s="43" t="n">
        <f aca="false">SUM(B382:E382)</f>
        <v>5040</v>
      </c>
      <c r="G382" s="60" t="n">
        <f aca="false">DATE(YEAR(A382),MONTH(A382),1)</f>
        <v>46023</v>
      </c>
      <c r="H382" s="63" t="n">
        <v>0</v>
      </c>
      <c r="I382" s="63" t="n">
        <v>292</v>
      </c>
      <c r="J382" s="43" t="n">
        <f aca="false">H382+I382</f>
        <v>292</v>
      </c>
    </row>
    <row r="383" customFormat="false" ht="15" hidden="false" customHeight="false" outlineLevel="0" collapsed="false">
      <c r="A383" s="62" t="n">
        <v>46036</v>
      </c>
      <c r="B383" s="63" t="n">
        <v>0</v>
      </c>
      <c r="C383" s="63" t="n">
        <v>0</v>
      </c>
      <c r="D383" s="63" t="n">
        <v>0</v>
      </c>
      <c r="E383" s="63" t="n">
        <v>3323</v>
      </c>
      <c r="F383" s="43" t="n">
        <f aca="false">SUM(B383:E383)</f>
        <v>3323</v>
      </c>
      <c r="G383" s="60" t="n">
        <f aca="false">DATE(YEAR(A383),MONTH(A383),1)</f>
        <v>46023</v>
      </c>
      <c r="H383" s="63" t="n">
        <v>0</v>
      </c>
      <c r="I383" s="63" t="n">
        <v>306</v>
      </c>
      <c r="J383" s="43" t="n">
        <f aca="false">H383+I383</f>
        <v>306</v>
      </c>
    </row>
    <row r="384" customFormat="false" ht="15" hidden="false" customHeight="false" outlineLevel="0" collapsed="false">
      <c r="A384" s="62" t="n">
        <v>46037</v>
      </c>
      <c r="B384" s="63" t="n">
        <v>0</v>
      </c>
      <c r="C384" s="63" t="n">
        <v>0</v>
      </c>
      <c r="D384" s="63" t="n">
        <v>0</v>
      </c>
      <c r="E384" s="63" t="n">
        <v>2678</v>
      </c>
      <c r="F384" s="43" t="n">
        <f aca="false">SUM(B384:E384)</f>
        <v>2678</v>
      </c>
      <c r="G384" s="60" t="n">
        <f aca="false">DATE(YEAR(A384),MONTH(A384),1)</f>
        <v>46023</v>
      </c>
      <c r="H384" s="63" t="n">
        <v>0</v>
      </c>
      <c r="I384" s="63" t="n">
        <v>210</v>
      </c>
      <c r="J384" s="43" t="n">
        <f aca="false">H384+I384</f>
        <v>210</v>
      </c>
    </row>
    <row r="385" customFormat="false" ht="15" hidden="false" customHeight="false" outlineLevel="0" collapsed="false">
      <c r="A385" s="62" t="n">
        <v>46038</v>
      </c>
      <c r="B385" s="63" t="n">
        <v>0</v>
      </c>
      <c r="C385" s="63" t="n">
        <v>0</v>
      </c>
      <c r="D385" s="63" t="n">
        <v>0</v>
      </c>
      <c r="E385" s="63" t="n">
        <v>495</v>
      </c>
      <c r="F385" s="43" t="n">
        <f aca="false">SUM(B385:E385)</f>
        <v>495</v>
      </c>
      <c r="G385" s="60" t="n">
        <f aca="false">DATE(YEAR(A385),MONTH(A385),1)</f>
        <v>46023</v>
      </c>
      <c r="H385" s="63" t="n">
        <v>0</v>
      </c>
      <c r="I385" s="63" t="n">
        <v>54</v>
      </c>
      <c r="J385" s="43" t="n">
        <f aca="false">H385+I385</f>
        <v>54</v>
      </c>
    </row>
    <row r="386" customFormat="false" ht="15" hidden="false" customHeight="false" outlineLevel="0" collapsed="false">
      <c r="A386" s="62" t="n">
        <v>46039</v>
      </c>
      <c r="B386" s="63" t="n">
        <v>0</v>
      </c>
      <c r="C386" s="63" t="n">
        <v>0</v>
      </c>
      <c r="D386" s="63" t="n">
        <v>0</v>
      </c>
      <c r="E386" s="63" t="n">
        <v>2214</v>
      </c>
      <c r="F386" s="43" t="n">
        <f aca="false">SUM(B386:E386)</f>
        <v>2214</v>
      </c>
      <c r="G386" s="60" t="n">
        <f aca="false">DATE(YEAR(A386),MONTH(A386),1)</f>
        <v>46023</v>
      </c>
      <c r="H386" s="63" t="n">
        <v>0</v>
      </c>
      <c r="I386" s="63" t="n">
        <v>346</v>
      </c>
      <c r="J386" s="43" t="n">
        <f aca="false">H386+I386</f>
        <v>346</v>
      </c>
    </row>
    <row r="387" customFormat="false" ht="15" hidden="false" customHeight="false" outlineLevel="0" collapsed="false">
      <c r="A387" s="62" t="n">
        <v>46040</v>
      </c>
      <c r="B387" s="63" t="n">
        <v>0</v>
      </c>
      <c r="C387" s="63" t="n">
        <v>0</v>
      </c>
      <c r="D387" s="63" t="n">
        <v>0</v>
      </c>
      <c r="E387" s="63" t="n">
        <v>9</v>
      </c>
      <c r="F387" s="43" t="n">
        <f aca="false">SUM(B387:E387)</f>
        <v>9</v>
      </c>
      <c r="G387" s="60" t="n">
        <f aca="false">DATE(YEAR(A387),MONTH(A387),1)</f>
        <v>46023</v>
      </c>
      <c r="H387" s="63" t="n">
        <v>0</v>
      </c>
      <c r="I387" s="63" t="n">
        <v>16</v>
      </c>
      <c r="J387" s="43" t="n">
        <f aca="false">H387+I387</f>
        <v>16</v>
      </c>
    </row>
    <row r="388" customFormat="false" ht="15" hidden="false" customHeight="false" outlineLevel="0" collapsed="false">
      <c r="A388" s="62" t="n">
        <v>46041</v>
      </c>
      <c r="B388" s="63" t="n">
        <v>0</v>
      </c>
      <c r="C388" s="63" t="n">
        <v>0</v>
      </c>
      <c r="D388" s="63" t="n">
        <v>0</v>
      </c>
      <c r="E388" s="63" t="n">
        <v>6</v>
      </c>
      <c r="F388" s="43" t="n">
        <f aca="false">SUM(B388:E388)</f>
        <v>6</v>
      </c>
      <c r="G388" s="60" t="n">
        <f aca="false">DATE(YEAR(A388),MONTH(A388),1)</f>
        <v>46023</v>
      </c>
      <c r="H388" s="63" t="n">
        <v>0</v>
      </c>
      <c r="I388" s="63" t="n">
        <v>61</v>
      </c>
      <c r="J388" s="43" t="n">
        <f aca="false">H388+I388</f>
        <v>61</v>
      </c>
    </row>
    <row r="389" customFormat="false" ht="15" hidden="false" customHeight="false" outlineLevel="0" collapsed="false">
      <c r="A389" s="62" t="n">
        <v>46042</v>
      </c>
      <c r="B389" s="63" t="n">
        <v>0</v>
      </c>
      <c r="C389" s="63" t="n">
        <v>0</v>
      </c>
      <c r="D389" s="63" t="n">
        <v>0</v>
      </c>
      <c r="E389" s="63" t="n">
        <v>7171</v>
      </c>
      <c r="F389" s="43" t="n">
        <f aca="false">SUM(B389:E389)</f>
        <v>7171</v>
      </c>
      <c r="G389" s="60" t="n">
        <f aca="false">DATE(YEAR(A389),MONTH(A389),1)</f>
        <v>46023</v>
      </c>
      <c r="H389" s="63" t="n">
        <v>0</v>
      </c>
      <c r="I389" s="63" t="n">
        <v>66</v>
      </c>
      <c r="J389" s="43" t="n">
        <f aca="false">H389+I389</f>
        <v>66</v>
      </c>
    </row>
    <row r="390" customFormat="false" ht="15" hidden="false" customHeight="false" outlineLevel="0" collapsed="false">
      <c r="A390" s="62" t="n">
        <v>46043</v>
      </c>
      <c r="B390" s="63" t="n">
        <v>0</v>
      </c>
      <c r="C390" s="63" t="n">
        <v>0</v>
      </c>
      <c r="D390" s="63" t="n">
        <v>0</v>
      </c>
      <c r="E390" s="63" t="n">
        <v>7411</v>
      </c>
      <c r="F390" s="43" t="n">
        <f aca="false">SUM(B390:E390)</f>
        <v>7411</v>
      </c>
      <c r="G390" s="60" t="n">
        <f aca="false">DATE(YEAR(A390),MONTH(A390),1)</f>
        <v>46023</v>
      </c>
      <c r="H390" s="63" t="n">
        <v>0</v>
      </c>
      <c r="I390" s="63" t="n">
        <v>192</v>
      </c>
      <c r="J390" s="43" t="n">
        <f aca="false">H390+I390</f>
        <v>192</v>
      </c>
    </row>
    <row r="391" customFormat="false" ht="15" hidden="false" customHeight="false" outlineLevel="0" collapsed="false">
      <c r="A391" s="62" t="n">
        <v>46044</v>
      </c>
      <c r="B391" s="63" t="n">
        <v>0</v>
      </c>
      <c r="C391" s="63" t="n">
        <v>0</v>
      </c>
      <c r="D391" s="63" t="n">
        <v>0</v>
      </c>
      <c r="E391" s="63" t="n">
        <v>689</v>
      </c>
      <c r="F391" s="43" t="n">
        <f aca="false">SUM(B391:E391)</f>
        <v>689</v>
      </c>
      <c r="G391" s="60" t="n">
        <f aca="false">DATE(YEAR(A391),MONTH(A391),1)</f>
        <v>46023</v>
      </c>
      <c r="H391" s="63" t="n">
        <v>0</v>
      </c>
      <c r="I391" s="63" t="n">
        <v>68</v>
      </c>
      <c r="J391" s="43" t="n">
        <f aca="false">H391+I391</f>
        <v>68</v>
      </c>
    </row>
    <row r="392" customFormat="false" ht="15" hidden="false" customHeight="false" outlineLevel="0" collapsed="false">
      <c r="A392" s="62" t="n">
        <v>46045</v>
      </c>
      <c r="B392" s="63" t="n">
        <v>0</v>
      </c>
      <c r="C392" s="63" t="n">
        <v>0</v>
      </c>
      <c r="D392" s="63" t="n">
        <v>0</v>
      </c>
      <c r="E392" s="63" t="n">
        <v>67</v>
      </c>
      <c r="F392" s="43" t="n">
        <f aca="false">SUM(B392:E392)</f>
        <v>67</v>
      </c>
      <c r="G392" s="60" t="n">
        <f aca="false">DATE(YEAR(A392),MONTH(A392),1)</f>
        <v>46023</v>
      </c>
      <c r="H392" s="63" t="n">
        <v>0</v>
      </c>
      <c r="I392" s="63" t="n">
        <v>10</v>
      </c>
      <c r="J392" s="43" t="n">
        <f aca="false">H392+I392</f>
        <v>10</v>
      </c>
    </row>
    <row r="393" customFormat="false" ht="15" hidden="false" customHeight="false" outlineLevel="0" collapsed="false">
      <c r="A393" s="62" t="n">
        <v>46046</v>
      </c>
      <c r="B393" s="63" t="n">
        <v>0</v>
      </c>
      <c r="C393" s="63" t="n">
        <v>0</v>
      </c>
      <c r="D393" s="63" t="n">
        <v>0</v>
      </c>
      <c r="E393" s="63" t="n">
        <v>337</v>
      </c>
      <c r="F393" s="43" t="n">
        <f aca="false">SUM(B393:E393)</f>
        <v>337</v>
      </c>
      <c r="G393" s="60" t="n">
        <f aca="false">DATE(YEAR(A393),MONTH(A393),1)</f>
        <v>46023</v>
      </c>
      <c r="H393" s="63" t="n">
        <v>0</v>
      </c>
      <c r="I393" s="63" t="n">
        <v>6</v>
      </c>
      <c r="J393" s="43" t="n">
        <f aca="false">H393+I393</f>
        <v>6</v>
      </c>
    </row>
    <row r="394" customFormat="false" ht="15" hidden="false" customHeight="false" outlineLevel="0" collapsed="false">
      <c r="A394" s="62" t="n">
        <v>46047</v>
      </c>
      <c r="B394" s="63" t="n">
        <v>0</v>
      </c>
      <c r="C394" s="63" t="n">
        <v>0</v>
      </c>
      <c r="D394" s="63" t="n">
        <v>0</v>
      </c>
      <c r="E394" s="63" t="n">
        <v>4</v>
      </c>
      <c r="F394" s="43" t="n">
        <f aca="false">SUM(B394:E394)</f>
        <v>4</v>
      </c>
      <c r="G394" s="60" t="n">
        <f aca="false">DATE(YEAR(A394),MONTH(A394),1)</f>
        <v>46023</v>
      </c>
      <c r="H394" s="63" t="n">
        <v>0</v>
      </c>
      <c r="I394" s="63" t="n">
        <v>9</v>
      </c>
      <c r="J394" s="43" t="n">
        <f aca="false">H394+I394</f>
        <v>9</v>
      </c>
    </row>
    <row r="395" customFormat="false" ht="15" hidden="false" customHeight="false" outlineLevel="0" collapsed="false">
      <c r="A395" s="62" t="n">
        <v>46048</v>
      </c>
      <c r="B395" s="63" t="n">
        <v>0</v>
      </c>
      <c r="C395" s="63" t="n">
        <v>0</v>
      </c>
      <c r="D395" s="63" t="n">
        <v>0</v>
      </c>
      <c r="E395" s="63" t="n">
        <v>11699</v>
      </c>
      <c r="F395" s="43" t="n">
        <f aca="false">SUM(B395:E395)</f>
        <v>11699</v>
      </c>
      <c r="G395" s="60" t="n">
        <f aca="false">DATE(YEAR(A395),MONTH(A395),1)</f>
        <v>46023</v>
      </c>
      <c r="H395" s="63" t="n">
        <v>0</v>
      </c>
      <c r="I395" s="63" t="n">
        <v>239</v>
      </c>
      <c r="J395" s="43" t="n">
        <f aca="false">H395+I395</f>
        <v>239</v>
      </c>
    </row>
    <row r="396" customFormat="false" ht="15" hidden="false" customHeight="false" outlineLevel="0" collapsed="false">
      <c r="A396" s="62" t="n">
        <v>46049</v>
      </c>
      <c r="B396" s="63" t="n">
        <v>0</v>
      </c>
      <c r="C396" s="63" t="n">
        <v>0</v>
      </c>
      <c r="D396" s="63" t="n">
        <v>0</v>
      </c>
      <c r="E396" s="63" t="n">
        <v>398</v>
      </c>
      <c r="F396" s="43" t="n">
        <f aca="false">SUM(B396:E396)</f>
        <v>398</v>
      </c>
      <c r="G396" s="60" t="n">
        <f aca="false">DATE(YEAR(A396),MONTH(A396),1)</f>
        <v>46023</v>
      </c>
      <c r="H396" s="63" t="n">
        <v>0</v>
      </c>
      <c r="I396" s="63" t="n">
        <v>103</v>
      </c>
      <c r="J396" s="43" t="n">
        <f aca="false">H396+I396</f>
        <v>103</v>
      </c>
    </row>
    <row r="397" customFormat="false" ht="15" hidden="false" customHeight="false" outlineLevel="0" collapsed="false">
      <c r="A397" s="62" t="n">
        <v>46050</v>
      </c>
      <c r="B397" s="63" t="n">
        <v>0</v>
      </c>
      <c r="C397" s="63" t="n">
        <v>0</v>
      </c>
      <c r="D397" s="63" t="n">
        <v>0</v>
      </c>
      <c r="E397" s="63" t="n">
        <v>1689</v>
      </c>
      <c r="F397" s="43" t="n">
        <f aca="false">SUM(B397:E397)</f>
        <v>1689</v>
      </c>
      <c r="G397" s="60" t="n">
        <f aca="false">DATE(YEAR(A397),MONTH(A397),1)</f>
        <v>46023</v>
      </c>
      <c r="H397" s="63" t="n">
        <v>0</v>
      </c>
      <c r="I397" s="63" t="n">
        <v>450</v>
      </c>
      <c r="J397" s="43" t="n">
        <f aca="false">H397+I397</f>
        <v>450</v>
      </c>
    </row>
    <row r="398" customFormat="false" ht="15" hidden="false" customHeight="false" outlineLevel="0" collapsed="false">
      <c r="A398" s="62" t="n">
        <v>46051</v>
      </c>
      <c r="B398" s="63" t="n">
        <v>0</v>
      </c>
      <c r="C398" s="63" t="n">
        <v>0</v>
      </c>
      <c r="D398" s="63" t="n">
        <v>0</v>
      </c>
      <c r="E398" s="63" t="n">
        <v>3478</v>
      </c>
      <c r="F398" s="43" t="n">
        <f aca="false">SUM(B398:E398)</f>
        <v>3478</v>
      </c>
      <c r="G398" s="60" t="n">
        <f aca="false">DATE(YEAR(A398),MONTH(A398),1)</f>
        <v>46023</v>
      </c>
      <c r="H398" s="63" t="n">
        <v>0</v>
      </c>
      <c r="I398" s="63" t="n">
        <v>212</v>
      </c>
      <c r="J398" s="43" t="n">
        <f aca="false">H398+I398</f>
        <v>212</v>
      </c>
    </row>
    <row r="399" customFormat="false" ht="15" hidden="false" customHeight="false" outlineLevel="0" collapsed="false">
      <c r="A399" s="62" t="n">
        <v>46052</v>
      </c>
      <c r="B399" s="63" t="n">
        <v>0</v>
      </c>
      <c r="C399" s="63" t="n">
        <v>0</v>
      </c>
      <c r="D399" s="63" t="n">
        <v>0</v>
      </c>
      <c r="E399" s="63" t="n">
        <v>1561</v>
      </c>
      <c r="F399" s="43" t="n">
        <f aca="false">SUM(B399:E399)</f>
        <v>1561</v>
      </c>
      <c r="G399" s="60" t="n">
        <f aca="false">DATE(YEAR(A399),MONTH(A399),1)</f>
        <v>46023</v>
      </c>
      <c r="H399" s="63" t="n">
        <v>0</v>
      </c>
      <c r="I399" s="63" t="n">
        <v>43</v>
      </c>
      <c r="J399" s="43" t="n">
        <f aca="false">H399+I399</f>
        <v>43</v>
      </c>
    </row>
    <row r="400" customFormat="false" ht="15" hidden="false" customHeight="false" outlineLevel="0" collapsed="false">
      <c r="A400" s="62" t="n">
        <v>46053</v>
      </c>
      <c r="B400" s="63" t="n">
        <v>0</v>
      </c>
      <c r="C400" s="63" t="n">
        <v>0</v>
      </c>
      <c r="D400" s="63" t="n">
        <v>0</v>
      </c>
      <c r="E400" s="63" t="n">
        <v>6</v>
      </c>
      <c r="F400" s="43" t="n">
        <f aca="false">SUM(B400:E400)</f>
        <v>6</v>
      </c>
      <c r="G400" s="60" t="n">
        <f aca="false">DATE(YEAR(A400),MONTH(A400),1)</f>
        <v>46023</v>
      </c>
      <c r="H400" s="63" t="n">
        <v>0</v>
      </c>
      <c r="I400" s="63" t="n">
        <v>14</v>
      </c>
      <c r="J400" s="43" t="n">
        <f aca="false">H400+I400</f>
        <v>14</v>
      </c>
    </row>
    <row r="401" customFormat="false" ht="15" hidden="false" customHeight="false" outlineLevel="0" collapsed="false">
      <c r="A401" s="62" t="n">
        <v>46054</v>
      </c>
      <c r="B401" s="63" t="n">
        <v>0</v>
      </c>
      <c r="C401" s="63" t="n">
        <v>0</v>
      </c>
      <c r="D401" s="63" t="n">
        <v>0</v>
      </c>
      <c r="E401" s="63" t="n">
        <v>3</v>
      </c>
      <c r="F401" s="43" t="n">
        <f aca="false">SUM(B401:E401)</f>
        <v>3</v>
      </c>
      <c r="G401" s="60" t="n">
        <f aca="false">DATE(YEAR(A401),MONTH(A401),1)</f>
        <v>46054</v>
      </c>
      <c r="H401" s="63" t="n">
        <v>0</v>
      </c>
      <c r="I401" s="63" t="n">
        <v>0</v>
      </c>
      <c r="J401" s="43" t="n">
        <f aca="false">H401+I401</f>
        <v>0</v>
      </c>
    </row>
    <row r="402" customFormat="false" ht="15" hidden="false" customHeight="false" outlineLevel="0" collapsed="false">
      <c r="A402" s="62" t="n">
        <v>46055</v>
      </c>
      <c r="B402" s="63" t="n">
        <v>0</v>
      </c>
      <c r="C402" s="63" t="n">
        <v>0</v>
      </c>
      <c r="D402" s="63" t="n">
        <v>0</v>
      </c>
      <c r="E402" s="63" t="n">
        <v>4</v>
      </c>
      <c r="F402" s="43" t="n">
        <f aca="false">SUM(B402:E402)</f>
        <v>4</v>
      </c>
      <c r="G402" s="60" t="n">
        <f aca="false">DATE(YEAR(A402),MONTH(A402),1)</f>
        <v>46054</v>
      </c>
      <c r="H402" s="63" t="n">
        <v>0</v>
      </c>
      <c r="I402" s="63" t="n">
        <v>4</v>
      </c>
      <c r="J402" s="43" t="n">
        <f aca="false">H402+I402</f>
        <v>4</v>
      </c>
    </row>
    <row r="403" customFormat="false" ht="15" hidden="false" customHeight="false" outlineLevel="0" collapsed="false">
      <c r="A403" s="62" t="n">
        <v>46056</v>
      </c>
      <c r="B403" s="63" t="n">
        <v>0</v>
      </c>
      <c r="C403" s="63" t="n">
        <v>0</v>
      </c>
      <c r="D403" s="63" t="n">
        <v>0</v>
      </c>
      <c r="E403" s="63" t="n">
        <v>24866</v>
      </c>
      <c r="F403" s="43" t="n">
        <f aca="false">SUM(B403:E403)</f>
        <v>24866</v>
      </c>
      <c r="G403" s="60" t="n">
        <f aca="false">DATE(YEAR(A403),MONTH(A403),1)</f>
        <v>46054</v>
      </c>
      <c r="H403" s="63" t="n">
        <v>0</v>
      </c>
      <c r="I403" s="63" t="n">
        <v>937</v>
      </c>
      <c r="J403" s="43" t="n">
        <f aca="false">H403+I403</f>
        <v>937</v>
      </c>
    </row>
    <row r="404" customFormat="false" ht="15" hidden="false" customHeight="false" outlineLevel="0" collapsed="false">
      <c r="A404" s="62" t="n">
        <v>46057</v>
      </c>
      <c r="B404" s="63" t="n">
        <v>0</v>
      </c>
      <c r="C404" s="63" t="n">
        <v>0</v>
      </c>
      <c r="D404" s="63" t="n">
        <v>0</v>
      </c>
      <c r="E404" s="63" t="n">
        <v>24528</v>
      </c>
      <c r="F404" s="43" t="n">
        <f aca="false">SUM(B404:E404)</f>
        <v>24528</v>
      </c>
      <c r="G404" s="60" t="n">
        <f aca="false">DATE(YEAR(A404),MONTH(A404),1)</f>
        <v>46054</v>
      </c>
      <c r="H404" s="63" t="n">
        <v>0</v>
      </c>
      <c r="I404" s="63" t="n">
        <v>523</v>
      </c>
      <c r="J404" s="43" t="n">
        <f aca="false">H404+I404</f>
        <v>523</v>
      </c>
    </row>
    <row r="405" customFormat="false" ht="15" hidden="false" customHeight="false" outlineLevel="0" collapsed="false">
      <c r="A405" s="62" t="n">
        <v>46058</v>
      </c>
      <c r="B405" s="63" t="n">
        <v>0</v>
      </c>
      <c r="C405" s="63" t="n">
        <v>0</v>
      </c>
      <c r="D405" s="63" t="n">
        <v>0</v>
      </c>
      <c r="E405" s="63" t="n">
        <v>19772</v>
      </c>
      <c r="F405" s="43" t="n">
        <f aca="false">SUM(B405:E405)</f>
        <v>19772</v>
      </c>
      <c r="G405" s="60" t="n">
        <f aca="false">DATE(YEAR(A405),MONTH(A405),1)</f>
        <v>46054</v>
      </c>
      <c r="H405" s="63" t="n">
        <v>0</v>
      </c>
      <c r="I405" s="63" t="n">
        <v>357</v>
      </c>
      <c r="J405" s="43" t="n">
        <f aca="false">H405+I405</f>
        <v>357</v>
      </c>
    </row>
    <row r="406" customFormat="false" ht="15" hidden="false" customHeight="false" outlineLevel="0" collapsed="false">
      <c r="A406" s="62" t="n">
        <v>46059</v>
      </c>
      <c r="B406" s="63" t="n">
        <v>0</v>
      </c>
      <c r="C406" s="63" t="n">
        <v>0</v>
      </c>
      <c r="D406" s="63" t="n">
        <v>0</v>
      </c>
      <c r="E406" s="63" t="n">
        <v>37</v>
      </c>
      <c r="F406" s="43" t="n">
        <f aca="false">SUM(B406:E406)</f>
        <v>37</v>
      </c>
      <c r="G406" s="60" t="n">
        <f aca="false">DATE(YEAR(A406),MONTH(A406),1)</f>
        <v>46054</v>
      </c>
      <c r="H406" s="63" t="n">
        <v>0</v>
      </c>
      <c r="I406" s="63" t="n">
        <v>43</v>
      </c>
      <c r="J406" s="43" t="n">
        <f aca="false">H406+I406</f>
        <v>43</v>
      </c>
    </row>
    <row r="407" customFormat="false" ht="15" hidden="false" customHeight="false" outlineLevel="0" collapsed="false">
      <c r="A407" s="62" t="n">
        <v>46060</v>
      </c>
      <c r="B407" s="63" t="n">
        <v>0</v>
      </c>
      <c r="C407" s="63" t="n">
        <v>0</v>
      </c>
      <c r="D407" s="63" t="n">
        <v>0</v>
      </c>
      <c r="E407" s="63" t="n">
        <v>8</v>
      </c>
      <c r="F407" s="43" t="n">
        <f aca="false">SUM(B407:E407)</f>
        <v>8</v>
      </c>
      <c r="G407" s="60" t="n">
        <f aca="false">DATE(YEAR(A407),MONTH(A407),1)</f>
        <v>46054</v>
      </c>
      <c r="H407" s="63" t="n">
        <v>0</v>
      </c>
      <c r="I407" s="63" t="n">
        <v>7</v>
      </c>
      <c r="J407" s="43" t="n">
        <f aca="false">H407+I407</f>
        <v>7</v>
      </c>
    </row>
    <row r="408" customFormat="false" ht="15" hidden="false" customHeight="false" outlineLevel="0" collapsed="false">
      <c r="A408" s="62" t="n">
        <v>46061</v>
      </c>
      <c r="B408" s="63" t="n">
        <v>0</v>
      </c>
      <c r="C408" s="63" t="n">
        <v>0</v>
      </c>
      <c r="D408" s="63" t="n">
        <v>0</v>
      </c>
      <c r="E408" s="63" t="n">
        <v>1494</v>
      </c>
      <c r="F408" s="43" t="n">
        <f aca="false">SUM(B408:E408)</f>
        <v>1494</v>
      </c>
      <c r="G408" s="60" t="n">
        <f aca="false">DATE(YEAR(A408),MONTH(A408),1)</f>
        <v>46054</v>
      </c>
      <c r="H408" s="63" t="n">
        <v>0</v>
      </c>
      <c r="I408" s="63" t="n">
        <v>8</v>
      </c>
      <c r="J408" s="43" t="n">
        <f aca="false">H408+I408</f>
        <v>8</v>
      </c>
    </row>
    <row r="409" customFormat="false" ht="15" hidden="false" customHeight="false" outlineLevel="0" collapsed="false">
      <c r="A409" s="62" t="n">
        <v>46062</v>
      </c>
      <c r="B409" s="63" t="n">
        <v>0</v>
      </c>
      <c r="C409" s="63" t="n">
        <v>0</v>
      </c>
      <c r="D409" s="63" t="n">
        <v>0</v>
      </c>
      <c r="E409" s="63" t="n">
        <v>17</v>
      </c>
      <c r="F409" s="43" t="n">
        <f aca="false">SUM(B409:E409)</f>
        <v>17</v>
      </c>
      <c r="G409" s="60" t="n">
        <f aca="false">DATE(YEAR(A409),MONTH(A409),1)</f>
        <v>46054</v>
      </c>
      <c r="H409" s="63" t="n">
        <v>0</v>
      </c>
      <c r="I409" s="63" t="n">
        <v>19</v>
      </c>
      <c r="J409" s="43" t="n">
        <f aca="false">H409+I409</f>
        <v>19</v>
      </c>
    </row>
    <row r="410" customFormat="false" ht="15" hidden="false" customHeight="false" outlineLevel="0" collapsed="false">
      <c r="A410" s="62" t="n">
        <v>46063</v>
      </c>
      <c r="B410" s="63" t="n">
        <v>0</v>
      </c>
      <c r="C410" s="63" t="n">
        <v>0</v>
      </c>
      <c r="D410" s="63" t="n">
        <v>0</v>
      </c>
      <c r="E410" s="63" t="n">
        <v>2</v>
      </c>
      <c r="F410" s="43" t="n">
        <f aca="false">SUM(B410:E410)</f>
        <v>2</v>
      </c>
      <c r="G410" s="60" t="n">
        <f aca="false">DATE(YEAR(A410),MONTH(A410),1)</f>
        <v>46054</v>
      </c>
      <c r="H410" s="63" t="n">
        <v>0</v>
      </c>
      <c r="I410" s="63" t="n">
        <v>15</v>
      </c>
      <c r="J410" s="43" t="n">
        <f aca="false">H410+I410</f>
        <v>15</v>
      </c>
    </row>
    <row r="411" customFormat="false" ht="15" hidden="false" customHeight="false" outlineLevel="0" collapsed="false">
      <c r="A411" s="62" t="n">
        <v>46064</v>
      </c>
      <c r="B411" s="63" t="n">
        <v>0</v>
      </c>
      <c r="C411" s="63" t="n">
        <v>0</v>
      </c>
      <c r="D411" s="63" t="n">
        <v>0</v>
      </c>
      <c r="E411" s="63" t="n">
        <v>5</v>
      </c>
      <c r="F411" s="43" t="n">
        <f aca="false">SUM(B411:E411)</f>
        <v>5</v>
      </c>
      <c r="G411" s="60" t="n">
        <f aca="false">DATE(YEAR(A411),MONTH(A411),1)</f>
        <v>46054</v>
      </c>
      <c r="H411" s="63" t="n">
        <v>0</v>
      </c>
      <c r="I411" s="63" t="n">
        <v>5</v>
      </c>
      <c r="J411" s="43" t="n">
        <f aca="false">H411+I411</f>
        <v>5</v>
      </c>
    </row>
    <row r="412" customFormat="false" ht="15" hidden="false" customHeight="false" outlineLevel="0" collapsed="false">
      <c r="A412" s="62" t="n">
        <v>46065</v>
      </c>
      <c r="B412" s="63" t="n">
        <v>0</v>
      </c>
      <c r="C412" s="63" t="n">
        <v>0</v>
      </c>
      <c r="D412" s="63" t="n">
        <v>0</v>
      </c>
      <c r="E412" s="63" t="n">
        <v>82</v>
      </c>
      <c r="F412" s="43" t="n">
        <f aca="false">SUM(B412:E412)</f>
        <v>82</v>
      </c>
      <c r="G412" s="60" t="n">
        <f aca="false">DATE(YEAR(A412),MONTH(A412),1)</f>
        <v>46054</v>
      </c>
      <c r="H412" s="63" t="n">
        <v>0</v>
      </c>
      <c r="I412" s="63" t="n">
        <v>6</v>
      </c>
      <c r="J412" s="43" t="n">
        <f aca="false">H412+I412</f>
        <v>6</v>
      </c>
    </row>
    <row r="413" customFormat="false" ht="15" hidden="false" customHeight="false" outlineLevel="0" collapsed="false">
      <c r="A413" s="62" t="n">
        <v>46066</v>
      </c>
      <c r="B413" s="63" t="n">
        <v>0</v>
      </c>
      <c r="C413" s="63" t="n">
        <v>0</v>
      </c>
      <c r="D413" s="63" t="n">
        <v>0</v>
      </c>
      <c r="E413" s="63" t="n">
        <v>4</v>
      </c>
      <c r="F413" s="43" t="n">
        <f aca="false">SUM(B413:E413)</f>
        <v>4</v>
      </c>
      <c r="G413" s="60" t="n">
        <f aca="false">DATE(YEAR(A413),MONTH(A413),1)</f>
        <v>46054</v>
      </c>
      <c r="H413" s="63" t="n">
        <v>0</v>
      </c>
      <c r="I413" s="63" t="n">
        <v>1</v>
      </c>
      <c r="J413" s="43" t="n">
        <f aca="false">H413+I413</f>
        <v>1</v>
      </c>
    </row>
    <row r="414" customFormat="false" ht="15" hidden="false" customHeight="false" outlineLevel="0" collapsed="false">
      <c r="A414" s="62" t="n">
        <v>46067</v>
      </c>
      <c r="B414" s="63" t="n">
        <v>0</v>
      </c>
      <c r="C414" s="63" t="n">
        <v>0</v>
      </c>
      <c r="D414" s="63" t="n">
        <v>0</v>
      </c>
      <c r="E414" s="63" t="n">
        <v>4</v>
      </c>
      <c r="F414" s="43" t="n">
        <f aca="false">SUM(B414:E414)</f>
        <v>4</v>
      </c>
      <c r="G414" s="60" t="n">
        <f aca="false">DATE(YEAR(A414),MONTH(A414),1)</f>
        <v>46054</v>
      </c>
      <c r="H414" s="63" t="n">
        <v>0</v>
      </c>
      <c r="I414" s="63" t="n">
        <v>7</v>
      </c>
      <c r="J414" s="43" t="n">
        <f aca="false">H414+I414</f>
        <v>7</v>
      </c>
    </row>
    <row r="415" customFormat="false" ht="15" hidden="false" customHeight="false" outlineLevel="0" collapsed="false">
      <c r="A415" s="62" t="n">
        <v>46068</v>
      </c>
      <c r="B415" s="63" t="n">
        <v>0</v>
      </c>
      <c r="C415" s="63" t="n">
        <v>0</v>
      </c>
      <c r="D415" s="63" t="n">
        <v>0</v>
      </c>
      <c r="E415" s="63" t="n">
        <v>2</v>
      </c>
      <c r="F415" s="43" t="n">
        <f aca="false">SUM(B415:E415)</f>
        <v>2</v>
      </c>
      <c r="G415" s="60" t="n">
        <f aca="false">DATE(YEAR(A415),MONTH(A415),1)</f>
        <v>46054</v>
      </c>
      <c r="H415" s="63" t="n">
        <v>0</v>
      </c>
      <c r="I415" s="63" t="n">
        <v>3</v>
      </c>
      <c r="J415" s="43" t="n">
        <f aca="false">H415+I415</f>
        <v>3</v>
      </c>
    </row>
    <row r="416" customFormat="false" ht="15" hidden="false" customHeight="false" outlineLevel="0" collapsed="false">
      <c r="A416" s="62" t="n">
        <v>46069</v>
      </c>
      <c r="B416" s="63" t="n">
        <v>0</v>
      </c>
      <c r="C416" s="63" t="n">
        <v>0</v>
      </c>
      <c r="D416" s="63" t="n">
        <v>0</v>
      </c>
      <c r="E416" s="63" t="n">
        <v>2</v>
      </c>
      <c r="F416" s="43" t="n">
        <f aca="false">SUM(B416:E416)</f>
        <v>2</v>
      </c>
      <c r="G416" s="60" t="n">
        <f aca="false">DATE(YEAR(A416),MONTH(A416),1)</f>
        <v>46054</v>
      </c>
      <c r="H416" s="63" t="n">
        <v>0</v>
      </c>
      <c r="I416" s="63" t="n">
        <v>1</v>
      </c>
      <c r="J416" s="43" t="n">
        <f aca="false">H416+I416</f>
        <v>1</v>
      </c>
    </row>
    <row r="417" customFormat="false" ht="15" hidden="false" customHeight="false" outlineLevel="0" collapsed="false">
      <c r="A417" s="62" t="n">
        <v>46070</v>
      </c>
      <c r="B417" s="63" t="n">
        <v>0</v>
      </c>
      <c r="C417" s="63" t="n">
        <v>0</v>
      </c>
      <c r="D417" s="63" t="n">
        <v>0</v>
      </c>
      <c r="E417" s="63" t="n">
        <v>3</v>
      </c>
      <c r="F417" s="43" t="n">
        <f aca="false">SUM(B417:E417)</f>
        <v>3</v>
      </c>
      <c r="G417" s="60" t="n">
        <f aca="false">DATE(YEAR(A417),MONTH(A417),1)</f>
        <v>46054</v>
      </c>
      <c r="H417" s="63" t="n">
        <v>0</v>
      </c>
      <c r="I417" s="63" t="n">
        <v>3</v>
      </c>
      <c r="J417" s="43" t="n">
        <f aca="false">H417+I417</f>
        <v>3</v>
      </c>
    </row>
    <row r="418" customFormat="false" ht="15" hidden="false" customHeight="false" outlineLevel="0" collapsed="false">
      <c r="A418" s="62" t="n">
        <v>46071</v>
      </c>
      <c r="B418" s="63" t="n">
        <v>0</v>
      </c>
      <c r="C418" s="63" t="n">
        <v>0</v>
      </c>
      <c r="D418" s="63" t="n">
        <v>0</v>
      </c>
      <c r="E418" s="63" t="n">
        <v>2</v>
      </c>
      <c r="F418" s="43" t="n">
        <f aca="false">SUM(B418:E418)</f>
        <v>2</v>
      </c>
      <c r="G418" s="60" t="n">
        <f aca="false">DATE(YEAR(A418),MONTH(A418),1)</f>
        <v>46054</v>
      </c>
      <c r="H418" s="63" t="n">
        <v>0</v>
      </c>
      <c r="I418" s="63" t="n">
        <v>4</v>
      </c>
      <c r="J418" s="43" t="n">
        <f aca="false">H418+I418</f>
        <v>4</v>
      </c>
    </row>
    <row r="419" customFormat="false" ht="15" hidden="false" customHeight="false" outlineLevel="0" collapsed="false">
      <c r="A419" s="62" t="n">
        <v>46072</v>
      </c>
      <c r="B419" s="63" t="n">
        <v>0</v>
      </c>
      <c r="C419" s="63" t="n">
        <v>0</v>
      </c>
      <c r="D419" s="63" t="n">
        <v>0</v>
      </c>
      <c r="E419" s="63" t="n">
        <v>7698</v>
      </c>
      <c r="F419" s="43" t="n">
        <f aca="false">SUM(B419:E419)</f>
        <v>7698</v>
      </c>
      <c r="G419" s="60" t="n">
        <f aca="false">DATE(YEAR(A419),MONTH(A419),1)</f>
        <v>46054</v>
      </c>
      <c r="H419" s="63" t="n">
        <v>0</v>
      </c>
      <c r="I419" s="63" t="n">
        <v>75</v>
      </c>
      <c r="J419" s="43" t="n">
        <f aca="false">H419+I419</f>
        <v>75</v>
      </c>
    </row>
    <row r="420" customFormat="false" ht="15" hidden="false" customHeight="false" outlineLevel="0" collapsed="false">
      <c r="A420" s="62" t="n">
        <v>46073</v>
      </c>
      <c r="B420" s="63" t="n">
        <v>0</v>
      </c>
      <c r="C420" s="63" t="n">
        <v>0</v>
      </c>
      <c r="D420" s="63" t="n">
        <v>0</v>
      </c>
      <c r="E420" s="63" t="n">
        <v>9983</v>
      </c>
      <c r="F420" s="43" t="n">
        <f aca="false">SUM(B420:E420)</f>
        <v>9983</v>
      </c>
      <c r="G420" s="60" t="n">
        <f aca="false">DATE(YEAR(A420),MONTH(A420),1)</f>
        <v>46054</v>
      </c>
      <c r="H420" s="63" t="n">
        <v>0</v>
      </c>
      <c r="I420" s="63" t="n">
        <v>118</v>
      </c>
      <c r="J420" s="43" t="n">
        <f aca="false">H420+I420</f>
        <v>118</v>
      </c>
    </row>
    <row r="421" customFormat="false" ht="15" hidden="false" customHeight="false" outlineLevel="0" collapsed="false">
      <c r="A421" s="62" t="n">
        <v>46074</v>
      </c>
      <c r="B421" s="63" t="n">
        <v>0</v>
      </c>
      <c r="C421" s="63" t="n">
        <v>0</v>
      </c>
      <c r="D421" s="63" t="n">
        <v>0</v>
      </c>
      <c r="E421" s="63" t="n">
        <v>16</v>
      </c>
      <c r="F421" s="43" t="n">
        <f aca="false">SUM(B421:E421)</f>
        <v>16</v>
      </c>
      <c r="G421" s="60" t="n">
        <f aca="false">DATE(YEAR(A421),MONTH(A421),1)</f>
        <v>46054</v>
      </c>
      <c r="H421" s="63" t="n">
        <v>0</v>
      </c>
      <c r="I421" s="63" t="n">
        <v>4</v>
      </c>
      <c r="J421" s="43" t="n">
        <f aca="false">H421+I421</f>
        <v>4</v>
      </c>
    </row>
    <row r="422" customFormat="false" ht="15" hidden="false" customHeight="false" outlineLevel="0" collapsed="false">
      <c r="A422" s="62" t="n">
        <v>46075</v>
      </c>
      <c r="B422" s="63" t="n">
        <v>0</v>
      </c>
      <c r="C422" s="63" t="n">
        <v>0</v>
      </c>
      <c r="D422" s="63" t="n">
        <v>0</v>
      </c>
      <c r="E422" s="63" t="n">
        <v>5</v>
      </c>
      <c r="F422" s="43" t="n">
        <f aca="false">SUM(B422:E422)</f>
        <v>5</v>
      </c>
      <c r="G422" s="60" t="n">
        <f aca="false">DATE(YEAR(A422),MONTH(A422),1)</f>
        <v>46054</v>
      </c>
      <c r="H422" s="63" t="n">
        <v>0</v>
      </c>
      <c r="I422" s="63" t="n">
        <v>6</v>
      </c>
      <c r="J422" s="43" t="n">
        <f aca="false">H422+I422</f>
        <v>6</v>
      </c>
    </row>
    <row r="423" customFormat="false" ht="15" hidden="false" customHeight="false" outlineLevel="0" collapsed="false">
      <c r="A423" s="62" t="n">
        <v>46076</v>
      </c>
      <c r="B423" s="63" t="n">
        <v>0</v>
      </c>
      <c r="C423" s="63" t="n">
        <v>0</v>
      </c>
      <c r="D423" s="63" t="n">
        <v>0</v>
      </c>
      <c r="E423" s="63" t="n">
        <v>8</v>
      </c>
      <c r="F423" s="43" t="n">
        <f aca="false">SUM(B423:E423)</f>
        <v>8</v>
      </c>
      <c r="G423" s="60" t="n">
        <f aca="false">DATE(YEAR(A423),MONTH(A423),1)</f>
        <v>46054</v>
      </c>
      <c r="H423" s="63" t="n">
        <v>0</v>
      </c>
      <c r="I423" s="63" t="n">
        <v>17</v>
      </c>
      <c r="J423" s="43" t="n">
        <f aca="false">H423+I423</f>
        <v>17</v>
      </c>
    </row>
    <row r="424" customFormat="false" ht="15" hidden="false" customHeight="false" outlineLevel="0" collapsed="false">
      <c r="A424" s="62" t="n">
        <v>46077</v>
      </c>
      <c r="B424" s="63" t="n">
        <v>0</v>
      </c>
      <c r="C424" s="63" t="n">
        <v>0</v>
      </c>
      <c r="D424" s="63" t="n">
        <v>0</v>
      </c>
      <c r="E424" s="63" t="n">
        <v>7</v>
      </c>
      <c r="F424" s="43" t="n">
        <f aca="false">SUM(B424:E424)</f>
        <v>7</v>
      </c>
      <c r="G424" s="60" t="n">
        <f aca="false">DATE(YEAR(A424),MONTH(A424),1)</f>
        <v>46054</v>
      </c>
      <c r="H424" s="63" t="n">
        <v>0</v>
      </c>
      <c r="I424" s="63" t="n">
        <v>15</v>
      </c>
      <c r="J424" s="43" t="n">
        <f aca="false">H424+I424</f>
        <v>15</v>
      </c>
    </row>
    <row r="425" customFormat="false" ht="15" hidden="false" customHeight="false" outlineLevel="0" collapsed="false">
      <c r="A425" s="62" t="n">
        <v>46078</v>
      </c>
      <c r="B425" s="63" t="n">
        <v>0</v>
      </c>
      <c r="C425" s="63" t="n">
        <v>0</v>
      </c>
      <c r="D425" s="63" t="n">
        <v>0</v>
      </c>
      <c r="E425" s="63" t="n">
        <v>73</v>
      </c>
      <c r="F425" s="43" t="n">
        <f aca="false">SUM(B425:E425)</f>
        <v>73</v>
      </c>
      <c r="G425" s="60" t="n">
        <f aca="false">DATE(YEAR(A425),MONTH(A425),1)</f>
        <v>46054</v>
      </c>
      <c r="H425" s="63" t="n">
        <v>0</v>
      </c>
      <c r="I425" s="63" t="n">
        <v>4</v>
      </c>
      <c r="J425" s="43" t="n">
        <f aca="false">H425+I425</f>
        <v>4</v>
      </c>
    </row>
    <row r="426" customFormat="false" ht="15" hidden="false" customHeight="false" outlineLevel="0" collapsed="false">
      <c r="A426" s="62" t="n">
        <v>46079</v>
      </c>
      <c r="B426" s="63" t="n">
        <v>0</v>
      </c>
      <c r="C426" s="63" t="n">
        <v>0</v>
      </c>
      <c r="D426" s="63" t="n">
        <v>0</v>
      </c>
      <c r="E426" s="63" t="n">
        <v>2</v>
      </c>
      <c r="F426" s="43" t="n">
        <f aca="false">SUM(B426:E426)</f>
        <v>2</v>
      </c>
      <c r="G426" s="60" t="n">
        <f aca="false">DATE(YEAR(A426),MONTH(A426),1)</f>
        <v>46054</v>
      </c>
      <c r="H426" s="63" t="n">
        <v>0</v>
      </c>
      <c r="I426" s="63" t="n">
        <v>8</v>
      </c>
      <c r="J426" s="43" t="n">
        <f aca="false">H426+I426</f>
        <v>8</v>
      </c>
    </row>
    <row r="427" customFormat="false" ht="15" hidden="false" customHeight="false" outlineLevel="0" collapsed="false">
      <c r="A427" s="62" t="n">
        <v>46080</v>
      </c>
      <c r="B427" s="63" t="n">
        <v>0</v>
      </c>
      <c r="C427" s="63" t="n">
        <v>0</v>
      </c>
      <c r="D427" s="63" t="n">
        <v>0</v>
      </c>
      <c r="E427" s="63" t="n">
        <v>2</v>
      </c>
      <c r="F427" s="43" t="n">
        <f aca="false">SUM(B427:E427)</f>
        <v>2</v>
      </c>
      <c r="G427" s="60" t="n">
        <f aca="false">DATE(YEAR(A427),MONTH(A427),1)</f>
        <v>46054</v>
      </c>
      <c r="H427" s="63" t="n">
        <v>0</v>
      </c>
      <c r="I427" s="63" t="n">
        <v>5</v>
      </c>
      <c r="J427" s="43" t="n">
        <f aca="false">H427+I427</f>
        <v>5</v>
      </c>
    </row>
    <row r="428" customFormat="false" ht="15" hidden="false" customHeight="false" outlineLevel="0" collapsed="false">
      <c r="A428" s="62" t="n">
        <v>46081</v>
      </c>
      <c r="B428" s="63" t="n">
        <v>0</v>
      </c>
      <c r="C428" s="63" t="n">
        <v>0</v>
      </c>
      <c r="D428" s="63" t="n">
        <v>0</v>
      </c>
      <c r="E428" s="63" t="n">
        <v>3</v>
      </c>
      <c r="F428" s="43" t="n">
        <f aca="false">SUM(B428:E428)</f>
        <v>3</v>
      </c>
      <c r="G428" s="60" t="n">
        <f aca="false">DATE(YEAR(A428),MONTH(A428),1)</f>
        <v>46054</v>
      </c>
      <c r="H428" s="63" t="n">
        <v>0</v>
      </c>
      <c r="I428" s="63" t="n">
        <v>2</v>
      </c>
      <c r="J428" s="43" t="n">
        <f aca="false">H428+I428</f>
        <v>2</v>
      </c>
    </row>
    <row r="429" customFormat="false" ht="15" hidden="false" customHeight="false" outlineLevel="0" collapsed="false">
      <c r="A429" s="62" t="n">
        <v>46082</v>
      </c>
      <c r="B429" s="63" t="n">
        <v>0</v>
      </c>
      <c r="C429" s="63" t="n">
        <v>0</v>
      </c>
      <c r="D429" s="63" t="n">
        <v>0</v>
      </c>
      <c r="E429" s="63" t="n">
        <v>4</v>
      </c>
      <c r="F429" s="43" t="n">
        <f aca="false">SUM(B429:E429)</f>
        <v>4</v>
      </c>
      <c r="G429" s="60" t="n">
        <f aca="false">DATE(YEAR(A429),MONTH(A429),1)</f>
        <v>46082</v>
      </c>
      <c r="H429" s="63" t="n">
        <v>0</v>
      </c>
      <c r="I429" s="63" t="n">
        <v>1</v>
      </c>
      <c r="J429" s="43" t="n">
        <f aca="false">H429+I429</f>
        <v>1</v>
      </c>
    </row>
    <row r="430" customFormat="false" ht="15" hidden="false" customHeight="false" outlineLevel="0" collapsed="false">
      <c r="A430" s="62" t="n">
        <v>46083</v>
      </c>
      <c r="B430" s="63" t="n">
        <v>0</v>
      </c>
      <c r="C430" s="63" t="n">
        <v>0</v>
      </c>
      <c r="D430" s="63" t="n">
        <v>0</v>
      </c>
      <c r="E430" s="63" t="n">
        <v>5</v>
      </c>
      <c r="F430" s="43" t="n">
        <f aca="false">SUM(B430:E430)</f>
        <v>5</v>
      </c>
      <c r="G430" s="60" t="n">
        <f aca="false">DATE(YEAR(A430),MONTH(A430),1)</f>
        <v>46082</v>
      </c>
      <c r="H430" s="63" t="n">
        <v>0</v>
      </c>
      <c r="I430" s="63" t="n">
        <v>20</v>
      </c>
      <c r="J430" s="43" t="n">
        <f aca="false">H430+I430</f>
        <v>20</v>
      </c>
    </row>
    <row r="431" customFormat="false" ht="15" hidden="false" customHeight="false" outlineLevel="0" collapsed="false">
      <c r="A431" s="62" t="n">
        <v>46084</v>
      </c>
      <c r="B431" s="63" t="n">
        <v>0</v>
      </c>
      <c r="C431" s="63" t="n">
        <v>0</v>
      </c>
      <c r="D431" s="63" t="n">
        <v>0</v>
      </c>
      <c r="E431" s="63" t="n">
        <v>2422</v>
      </c>
      <c r="F431" s="43" t="n">
        <f aca="false">SUM(B431:E431)</f>
        <v>2422</v>
      </c>
      <c r="G431" s="60" t="n">
        <f aca="false">DATE(YEAR(A431),MONTH(A431),1)</f>
        <v>46082</v>
      </c>
      <c r="H431" s="63" t="n">
        <v>0</v>
      </c>
      <c r="I431" s="63" t="n">
        <v>30</v>
      </c>
      <c r="J431" s="43" t="n">
        <f aca="false">H431+I431</f>
        <v>30</v>
      </c>
    </row>
    <row r="432" customFormat="false" ht="15" hidden="false" customHeight="false" outlineLevel="0" collapsed="false">
      <c r="A432" s="62" t="n">
        <v>46085</v>
      </c>
      <c r="B432" s="63" t="n">
        <v>0</v>
      </c>
      <c r="C432" s="63" t="n">
        <v>0</v>
      </c>
      <c r="D432" s="63" t="n">
        <v>0</v>
      </c>
      <c r="E432" s="63" t="n">
        <v>0</v>
      </c>
      <c r="F432" s="43" t="n">
        <f aca="false">SUM(B432:E432)</f>
        <v>0</v>
      </c>
      <c r="G432" s="60" t="n">
        <f aca="false">DATE(YEAR(A432),MONTH(A432),1)</f>
        <v>46082</v>
      </c>
      <c r="H432" s="63" t="n">
        <v>0</v>
      </c>
      <c r="I432" s="63" t="n">
        <v>6</v>
      </c>
      <c r="J432" s="43" t="n">
        <f aca="false">H432+I432</f>
        <v>6</v>
      </c>
    </row>
    <row r="433" customFormat="false" ht="15" hidden="false" customHeight="false" outlineLevel="0" collapsed="false">
      <c r="A433" s="62" t="n">
        <v>46086</v>
      </c>
      <c r="B433" s="63" t="n">
        <v>0</v>
      </c>
      <c r="C433" s="63" t="n">
        <v>0</v>
      </c>
      <c r="D433" s="63" t="n">
        <v>0</v>
      </c>
      <c r="E433" s="63" t="n">
        <v>4</v>
      </c>
      <c r="F433" s="43" t="n">
        <f aca="false">SUM(B433:E433)</f>
        <v>4</v>
      </c>
      <c r="G433" s="60" t="n">
        <f aca="false">DATE(YEAR(A433),MONTH(A433),1)</f>
        <v>46082</v>
      </c>
      <c r="H433" s="63" t="n">
        <v>0</v>
      </c>
      <c r="I433" s="63" t="n">
        <v>6</v>
      </c>
      <c r="J433" s="43" t="n">
        <f aca="false">H433+I433</f>
        <v>6</v>
      </c>
    </row>
    <row r="434" customFormat="false" ht="15" hidden="false" customHeight="false" outlineLevel="0" collapsed="false">
      <c r="A434" s="62" t="n">
        <v>46087</v>
      </c>
      <c r="B434" s="63" t="n">
        <v>0</v>
      </c>
      <c r="C434" s="63" t="n">
        <v>0</v>
      </c>
      <c r="D434" s="63" t="n">
        <v>0</v>
      </c>
      <c r="E434" s="63" t="n">
        <v>0</v>
      </c>
      <c r="F434" s="43" t="n">
        <f aca="false">SUM(B434:E434)</f>
        <v>0</v>
      </c>
      <c r="G434" s="60" t="n">
        <f aca="false">DATE(YEAR(A434),MONTH(A434),1)</f>
        <v>46082</v>
      </c>
      <c r="H434" s="63" t="n">
        <v>0</v>
      </c>
      <c r="I434" s="63" t="n">
        <v>43</v>
      </c>
      <c r="J434" s="43" t="n">
        <f aca="false">H434+I434</f>
        <v>43</v>
      </c>
    </row>
    <row r="435" customFormat="false" ht="15" hidden="false" customHeight="false" outlineLevel="0" collapsed="false">
      <c r="A435" s="62" t="n">
        <v>46088</v>
      </c>
      <c r="B435" s="63" t="n">
        <v>0</v>
      </c>
      <c r="C435" s="63" t="n">
        <v>0</v>
      </c>
      <c r="D435" s="63" t="n">
        <v>0</v>
      </c>
      <c r="E435" s="63" t="n">
        <v>0</v>
      </c>
      <c r="F435" s="43" t="n">
        <f aca="false">SUM(B435:E435)</f>
        <v>0</v>
      </c>
      <c r="G435" s="60" t="n">
        <f aca="false">DATE(YEAR(A435),MONTH(A435),1)</f>
        <v>46082</v>
      </c>
      <c r="H435" s="63" t="n">
        <v>0</v>
      </c>
      <c r="I435" s="63" t="n">
        <v>9</v>
      </c>
      <c r="J435" s="43" t="n">
        <f aca="false">H435+I435</f>
        <v>9</v>
      </c>
    </row>
    <row r="436" customFormat="false" ht="15" hidden="false" customHeight="false" outlineLevel="0" collapsed="false">
      <c r="A436" s="62" t="n">
        <v>46089</v>
      </c>
      <c r="B436" s="63" t="n">
        <v>0</v>
      </c>
      <c r="C436" s="63" t="n">
        <v>0</v>
      </c>
      <c r="D436" s="63" t="n">
        <v>0</v>
      </c>
      <c r="E436" s="63" t="n">
        <v>0</v>
      </c>
      <c r="F436" s="43" t="n">
        <f aca="false">SUM(B436:E436)</f>
        <v>0</v>
      </c>
      <c r="G436" s="60" t="n">
        <f aca="false">DATE(YEAR(A436),MONTH(A436),1)</f>
        <v>46082</v>
      </c>
      <c r="H436" s="63" t="n">
        <v>0</v>
      </c>
      <c r="I436" s="63" t="n">
        <v>4</v>
      </c>
      <c r="J436" s="43" t="n">
        <f aca="false">H436+I436</f>
        <v>4</v>
      </c>
    </row>
    <row r="437" customFormat="false" ht="15" hidden="false" customHeight="false" outlineLevel="0" collapsed="false">
      <c r="A437" s="62" t="n">
        <v>46090</v>
      </c>
      <c r="B437" s="63" t="n">
        <v>0</v>
      </c>
      <c r="C437" s="63" t="n">
        <v>0</v>
      </c>
      <c r="D437" s="63" t="n">
        <v>0</v>
      </c>
      <c r="E437" s="63" t="n">
        <v>5</v>
      </c>
      <c r="F437" s="43" t="n">
        <f aca="false">SUM(B437:E437)</f>
        <v>5</v>
      </c>
      <c r="G437" s="60" t="n">
        <f aca="false">DATE(YEAR(A437),MONTH(A437),1)</f>
        <v>46082</v>
      </c>
      <c r="H437" s="63" t="n">
        <v>0</v>
      </c>
      <c r="I437" s="63" t="n">
        <v>7</v>
      </c>
      <c r="J437" s="43" t="n">
        <f aca="false">H437+I437</f>
        <v>7</v>
      </c>
    </row>
    <row r="438" customFormat="false" ht="15" hidden="false" customHeight="false" outlineLevel="0" collapsed="false">
      <c r="A438" s="62" t="n">
        <v>46091</v>
      </c>
      <c r="B438" s="63" t="n">
        <v>0</v>
      </c>
      <c r="C438" s="63" t="n">
        <v>0</v>
      </c>
      <c r="D438" s="63" t="n">
        <v>0</v>
      </c>
      <c r="E438" s="63" t="n">
        <v>0</v>
      </c>
      <c r="F438" s="43" t="n">
        <f aca="false">SUM(B438:E438)</f>
        <v>0</v>
      </c>
      <c r="G438" s="60" t="n">
        <f aca="false">DATE(YEAR(A438),MONTH(A438),1)</f>
        <v>46082</v>
      </c>
      <c r="H438" s="63" t="n">
        <v>0</v>
      </c>
      <c r="I438" s="63" t="n">
        <v>0</v>
      </c>
      <c r="J438" s="43" t="n">
        <f aca="false">H438+I438</f>
        <v>0</v>
      </c>
    </row>
    <row r="439" customFormat="false" ht="15" hidden="false" customHeight="false" outlineLevel="0" collapsed="false">
      <c r="A439" s="62" t="n">
        <v>46092</v>
      </c>
      <c r="B439" s="63" t="n">
        <v>0</v>
      </c>
      <c r="C439" s="63" t="n">
        <v>0</v>
      </c>
      <c r="D439" s="63" t="n">
        <v>0</v>
      </c>
      <c r="E439" s="63" t="n">
        <v>1</v>
      </c>
      <c r="F439" s="43" t="n">
        <f aca="false">SUM(B439:E439)</f>
        <v>1</v>
      </c>
      <c r="G439" s="60" t="n">
        <f aca="false">DATE(YEAR(A439),MONTH(A439),1)</f>
        <v>46082</v>
      </c>
      <c r="H439" s="63" t="n">
        <v>0</v>
      </c>
      <c r="I439" s="63" t="n">
        <v>0</v>
      </c>
      <c r="J439" s="43" t="n">
        <f aca="false">H439+I439</f>
        <v>0</v>
      </c>
    </row>
    <row r="440" customFormat="false" ht="15" hidden="false" customHeight="false" outlineLevel="0" collapsed="false">
      <c r="A440" s="62" t="n">
        <v>46093</v>
      </c>
      <c r="B440" s="63" t="n">
        <v>0</v>
      </c>
      <c r="C440" s="63" t="n">
        <v>0</v>
      </c>
      <c r="D440" s="63" t="n">
        <v>0</v>
      </c>
      <c r="E440" s="63" t="n">
        <v>1</v>
      </c>
      <c r="F440" s="43" t="n">
        <f aca="false">SUM(B440:E440)</f>
        <v>1</v>
      </c>
      <c r="G440" s="60" t="n">
        <f aca="false">DATE(YEAR(A440),MONTH(A440),1)</f>
        <v>46082</v>
      </c>
      <c r="H440" s="63" t="n">
        <v>0</v>
      </c>
      <c r="I440" s="63" t="n">
        <v>1</v>
      </c>
      <c r="J440" s="43" t="n">
        <f aca="false">H440+I440</f>
        <v>1</v>
      </c>
    </row>
    <row r="441" customFormat="false" ht="15" hidden="false" customHeight="false" outlineLevel="0" collapsed="false">
      <c r="A441" s="62" t="n">
        <v>46094</v>
      </c>
      <c r="B441" s="63" t="n">
        <v>0</v>
      </c>
      <c r="C441" s="63" t="n">
        <v>0</v>
      </c>
      <c r="D441" s="63" t="n">
        <v>0</v>
      </c>
      <c r="E441" s="63" t="n">
        <v>0</v>
      </c>
      <c r="F441" s="43" t="n">
        <f aca="false">SUM(B441:E441)</f>
        <v>0</v>
      </c>
      <c r="G441" s="60" t="n">
        <f aca="false">DATE(YEAR(A441),MONTH(A441),1)</f>
        <v>46082</v>
      </c>
      <c r="H441" s="63" t="n">
        <v>0</v>
      </c>
      <c r="I441" s="63" t="n">
        <v>41</v>
      </c>
      <c r="J441" s="43" t="n">
        <f aca="false">H441+I441</f>
        <v>41</v>
      </c>
    </row>
    <row r="442" customFormat="false" ht="15" hidden="false" customHeight="false" outlineLevel="0" collapsed="false">
      <c r="A442" s="62" t="n">
        <v>46095</v>
      </c>
      <c r="B442" s="63" t="n">
        <v>0</v>
      </c>
      <c r="C442" s="63" t="n">
        <v>0</v>
      </c>
      <c r="D442" s="63" t="n">
        <v>0</v>
      </c>
      <c r="E442" s="63" t="n">
        <v>0</v>
      </c>
      <c r="F442" s="43" t="n">
        <f aca="false">SUM(B442:E442)</f>
        <v>0</v>
      </c>
      <c r="G442" s="60" t="n">
        <f aca="false">DATE(YEAR(A442),MONTH(A442),1)</f>
        <v>46082</v>
      </c>
      <c r="H442" s="63" t="n">
        <v>0</v>
      </c>
      <c r="I442" s="63" t="n">
        <v>11</v>
      </c>
      <c r="J442" s="43" t="n">
        <f aca="false">H442+I442</f>
        <v>11</v>
      </c>
    </row>
    <row r="443" customFormat="false" ht="15" hidden="false" customHeight="false" outlineLevel="0" collapsed="false">
      <c r="A443" s="62" t="n">
        <v>46096</v>
      </c>
      <c r="B443" s="63" t="n">
        <v>0</v>
      </c>
      <c r="C443" s="63" t="n">
        <v>0</v>
      </c>
      <c r="D443" s="63" t="n">
        <v>0</v>
      </c>
      <c r="E443" s="63" t="n">
        <v>1</v>
      </c>
      <c r="F443" s="43" t="n">
        <f aca="false">SUM(B443:E443)</f>
        <v>1</v>
      </c>
      <c r="G443" s="60" t="n">
        <f aca="false">DATE(YEAR(A443),MONTH(A443),1)</f>
        <v>46082</v>
      </c>
      <c r="H443" s="63" t="n">
        <v>0</v>
      </c>
      <c r="I443" s="63" t="n">
        <v>0</v>
      </c>
      <c r="J443" s="43" t="n">
        <f aca="false">H443+I443</f>
        <v>0</v>
      </c>
    </row>
    <row r="444" customFormat="false" ht="15" hidden="false" customHeight="false" outlineLevel="0" collapsed="false">
      <c r="A444" s="62" t="n">
        <v>46097</v>
      </c>
      <c r="B444" s="63" t="n">
        <v>0</v>
      </c>
      <c r="C444" s="63" t="n">
        <v>0</v>
      </c>
      <c r="D444" s="63" t="n">
        <v>0</v>
      </c>
      <c r="E444" s="63" t="n">
        <v>1</v>
      </c>
      <c r="F444" s="43" t="n">
        <f aca="false">SUM(B444:E444)</f>
        <v>1</v>
      </c>
      <c r="G444" s="60" t="n">
        <f aca="false">DATE(YEAR(A444),MONTH(A444),1)</f>
        <v>46082</v>
      </c>
      <c r="H444" s="63" t="n">
        <v>0</v>
      </c>
      <c r="I444" s="63" t="n">
        <v>2</v>
      </c>
      <c r="J444" s="43" t="n">
        <f aca="false">H444+I444</f>
        <v>2</v>
      </c>
    </row>
    <row r="445" customFormat="false" ht="15" hidden="false" customHeight="false" outlineLevel="0" collapsed="false">
      <c r="A445" s="62" t="n">
        <v>46098</v>
      </c>
      <c r="B445" s="63" t="n">
        <v>0</v>
      </c>
      <c r="C445" s="63" t="n">
        <v>0</v>
      </c>
      <c r="D445" s="63" t="n">
        <v>0</v>
      </c>
      <c r="E445" s="63" t="n">
        <v>492</v>
      </c>
      <c r="F445" s="43" t="n">
        <f aca="false">SUM(B445:E445)</f>
        <v>492</v>
      </c>
      <c r="G445" s="60" t="n">
        <f aca="false">DATE(YEAR(A445),MONTH(A445),1)</f>
        <v>46082</v>
      </c>
      <c r="H445" s="63" t="n">
        <v>0</v>
      </c>
      <c r="I445" s="63" t="n">
        <v>70</v>
      </c>
      <c r="J445" s="43" t="n">
        <f aca="false">H445+I445</f>
        <v>70</v>
      </c>
    </row>
    <row r="446" customFormat="false" ht="15" hidden="false" customHeight="false" outlineLevel="0" collapsed="false">
      <c r="A446" s="62" t="n">
        <v>46099</v>
      </c>
      <c r="B446" s="63" t="n">
        <v>0</v>
      </c>
      <c r="C446" s="63" t="n">
        <v>0</v>
      </c>
      <c r="D446" s="63" t="n">
        <v>0</v>
      </c>
      <c r="E446" s="63" t="n">
        <v>1223</v>
      </c>
      <c r="F446" s="43" t="n">
        <f aca="false">SUM(B446:E446)</f>
        <v>1223</v>
      </c>
      <c r="G446" s="60" t="n">
        <f aca="false">DATE(YEAR(A446),MONTH(A446),1)</f>
        <v>46082</v>
      </c>
      <c r="H446" s="63" t="n">
        <v>0</v>
      </c>
      <c r="I446" s="63" t="n">
        <v>130</v>
      </c>
      <c r="J446" s="43" t="n">
        <f aca="false">H446+I446</f>
        <v>130</v>
      </c>
    </row>
    <row r="447" customFormat="false" ht="15" hidden="false" customHeight="false" outlineLevel="0" collapsed="false">
      <c r="A447" s="62" t="n">
        <v>46100</v>
      </c>
      <c r="B447" s="63" t="n">
        <v>0</v>
      </c>
      <c r="C447" s="63" t="n">
        <v>0</v>
      </c>
      <c r="D447" s="63" t="n">
        <v>0</v>
      </c>
      <c r="E447" s="63" t="n">
        <v>5178</v>
      </c>
      <c r="F447" s="43" t="n">
        <f aca="false">SUM(B447:E447)</f>
        <v>5178</v>
      </c>
      <c r="G447" s="60" t="n">
        <f aca="false">DATE(YEAR(A447),MONTH(A447),1)</f>
        <v>46082</v>
      </c>
      <c r="H447" s="63" t="n">
        <v>0</v>
      </c>
      <c r="I447" s="63" t="n">
        <v>333</v>
      </c>
      <c r="J447" s="43" t="n">
        <f aca="false">H447+I447</f>
        <v>333</v>
      </c>
    </row>
    <row r="448" customFormat="false" ht="15" hidden="false" customHeight="false" outlineLevel="0" collapsed="false">
      <c r="A448" s="62" t="n">
        <v>46101</v>
      </c>
      <c r="B448" s="63" t="n">
        <v>0</v>
      </c>
      <c r="C448" s="63" t="n">
        <v>0</v>
      </c>
      <c r="D448" s="63" t="n">
        <v>0</v>
      </c>
      <c r="E448" s="63" t="n">
        <v>7</v>
      </c>
      <c r="F448" s="43" t="n">
        <f aca="false">SUM(B448:E448)</f>
        <v>7</v>
      </c>
      <c r="G448" s="60" t="n">
        <f aca="false">DATE(YEAR(A448),MONTH(A448),1)</f>
        <v>46082</v>
      </c>
      <c r="H448" s="63" t="n">
        <v>0</v>
      </c>
      <c r="I448" s="63" t="n">
        <v>60</v>
      </c>
      <c r="J448" s="43" t="n">
        <f aca="false">H448+I448</f>
        <v>60</v>
      </c>
    </row>
    <row r="449" customFormat="false" ht="15" hidden="false" customHeight="false" outlineLevel="0" collapsed="false">
      <c r="A449" s="62" t="n">
        <v>46102</v>
      </c>
      <c r="B449" s="63" t="n">
        <v>0</v>
      </c>
      <c r="C449" s="63" t="n">
        <v>0</v>
      </c>
      <c r="D449" s="63" t="n">
        <v>0</v>
      </c>
      <c r="E449" s="63" t="n">
        <v>0</v>
      </c>
      <c r="F449" s="43" t="n">
        <f aca="false">SUM(B449:E449)</f>
        <v>0</v>
      </c>
      <c r="G449" s="60" t="n">
        <f aca="false">DATE(YEAR(A449),MONTH(A449),1)</f>
        <v>46082</v>
      </c>
      <c r="H449" s="63" t="n">
        <v>0</v>
      </c>
      <c r="I449" s="63" t="n">
        <v>4</v>
      </c>
      <c r="J449" s="43" t="n">
        <f aca="false">H449+I449</f>
        <v>4</v>
      </c>
    </row>
    <row r="450" customFormat="false" ht="15" hidden="false" customHeight="false" outlineLevel="0" collapsed="false">
      <c r="A450" s="62" t="n">
        <v>46103</v>
      </c>
      <c r="B450" s="63" t="n">
        <v>0</v>
      </c>
      <c r="C450" s="63" t="n">
        <v>0</v>
      </c>
      <c r="D450" s="63" t="n">
        <v>0</v>
      </c>
      <c r="E450" s="63" t="n">
        <v>1</v>
      </c>
      <c r="F450" s="43" t="n">
        <f aca="false">SUM(B450:E450)</f>
        <v>1</v>
      </c>
      <c r="G450" s="60" t="n">
        <f aca="false">DATE(YEAR(A450),MONTH(A450),1)</f>
        <v>46082</v>
      </c>
      <c r="H450" s="63" t="n">
        <v>0</v>
      </c>
      <c r="I450" s="63" t="n">
        <v>3</v>
      </c>
      <c r="J450" s="43" t="n">
        <f aca="false">H450+I450</f>
        <v>3</v>
      </c>
    </row>
    <row r="451" customFormat="false" ht="15" hidden="false" customHeight="false" outlineLevel="0" collapsed="false">
      <c r="A451" s="62" t="n">
        <v>46104</v>
      </c>
      <c r="B451" s="63" t="n">
        <v>0</v>
      </c>
      <c r="C451" s="63" t="n">
        <v>0</v>
      </c>
      <c r="D451" s="63" t="n">
        <v>0</v>
      </c>
      <c r="E451" s="63" t="n">
        <v>0</v>
      </c>
      <c r="F451" s="43" t="n">
        <f aca="false">SUM(B451:E451)</f>
        <v>0</v>
      </c>
      <c r="G451" s="60" t="n">
        <f aca="false">DATE(YEAR(A451),MONTH(A451),1)</f>
        <v>46082</v>
      </c>
      <c r="H451" s="63" t="n">
        <v>0</v>
      </c>
      <c r="I451" s="63" t="n">
        <v>37</v>
      </c>
      <c r="J451" s="43" t="n">
        <f aca="false">H451+I451</f>
        <v>37</v>
      </c>
    </row>
    <row r="452" customFormat="false" ht="15" hidden="false" customHeight="false" outlineLevel="0" collapsed="false">
      <c r="A452" s="62" t="n">
        <v>46105</v>
      </c>
      <c r="B452" s="63" t="n">
        <v>0</v>
      </c>
      <c r="C452" s="63" t="n">
        <v>0</v>
      </c>
      <c r="D452" s="63" t="n">
        <v>0</v>
      </c>
      <c r="E452" s="63" t="n">
        <v>1</v>
      </c>
      <c r="F452" s="43" t="n">
        <f aca="false">SUM(B452:E452)</f>
        <v>1</v>
      </c>
      <c r="G452" s="60" t="n">
        <f aca="false">DATE(YEAR(A452),MONTH(A452),1)</f>
        <v>46082</v>
      </c>
      <c r="H452" s="63" t="n">
        <v>0</v>
      </c>
      <c r="I452" s="63" t="n">
        <v>26</v>
      </c>
      <c r="J452" s="43" t="n">
        <f aca="false">H452+I452</f>
        <v>26</v>
      </c>
    </row>
    <row r="453" customFormat="false" ht="15" hidden="false" customHeight="false" outlineLevel="0" collapsed="false">
      <c r="A453" s="62" t="n">
        <v>46106</v>
      </c>
      <c r="B453" s="63" t="n">
        <v>0</v>
      </c>
      <c r="C453" s="63" t="n">
        <v>0</v>
      </c>
      <c r="D453" s="63" t="n">
        <v>0</v>
      </c>
      <c r="E453" s="63" t="n">
        <v>640</v>
      </c>
      <c r="F453" s="43" t="n">
        <f aca="false">SUM(B453:E453)</f>
        <v>640</v>
      </c>
      <c r="G453" s="60" t="n">
        <f aca="false">DATE(YEAR(A453),MONTH(A453),1)</f>
        <v>46082</v>
      </c>
      <c r="H453" s="63" t="n">
        <v>0</v>
      </c>
      <c r="I453" s="63" t="n">
        <v>140</v>
      </c>
      <c r="J453" s="43" t="n">
        <f aca="false">H453+I453</f>
        <v>140</v>
      </c>
    </row>
    <row r="454" customFormat="false" ht="15" hidden="false" customHeight="false" outlineLevel="0" collapsed="false">
      <c r="A454" s="62" t="n">
        <v>46107</v>
      </c>
      <c r="B454" s="63" t="n">
        <v>0</v>
      </c>
      <c r="C454" s="63" t="n">
        <v>0</v>
      </c>
      <c r="D454" s="63" t="n">
        <v>0</v>
      </c>
      <c r="E454" s="63" t="n">
        <v>1</v>
      </c>
      <c r="F454" s="43" t="n">
        <f aca="false">SUM(B454:E454)</f>
        <v>1</v>
      </c>
      <c r="G454" s="60" t="n">
        <f aca="false">DATE(YEAR(A454),MONTH(A454),1)</f>
        <v>46082</v>
      </c>
      <c r="H454" s="63" t="n">
        <v>0</v>
      </c>
      <c r="I454" s="63" t="n">
        <v>11</v>
      </c>
      <c r="J454" s="43" t="n">
        <f aca="false">H454+I454</f>
        <v>11</v>
      </c>
    </row>
    <row r="455" customFormat="false" ht="15" hidden="false" customHeight="false" outlineLevel="0" collapsed="false">
      <c r="A455" s="62" t="n">
        <v>46108</v>
      </c>
      <c r="B455" s="63" t="n">
        <v>0</v>
      </c>
      <c r="C455" s="63" t="n">
        <v>0</v>
      </c>
      <c r="D455" s="63" t="n">
        <v>0</v>
      </c>
      <c r="E455" s="63" t="n">
        <v>3516</v>
      </c>
      <c r="F455" s="43" t="n">
        <f aca="false">SUM(B455:E455)</f>
        <v>3516</v>
      </c>
      <c r="G455" s="60" t="n">
        <f aca="false">DATE(YEAR(A455),MONTH(A455),1)</f>
        <v>46082</v>
      </c>
      <c r="H455" s="63" t="n">
        <v>0</v>
      </c>
      <c r="I455" s="63" t="n">
        <v>177</v>
      </c>
      <c r="J455" s="43" t="n">
        <f aca="false">H455+I455</f>
        <v>177</v>
      </c>
    </row>
    <row r="456" customFormat="false" ht="15" hidden="false" customHeight="false" outlineLevel="0" collapsed="false">
      <c r="A456" s="62" t="n">
        <v>46109</v>
      </c>
      <c r="B456" s="63" t="n">
        <v>0</v>
      </c>
      <c r="C456" s="63" t="n">
        <v>0</v>
      </c>
      <c r="D456" s="63" t="n">
        <v>0</v>
      </c>
      <c r="E456" s="63" t="n">
        <v>7906</v>
      </c>
      <c r="F456" s="43" t="n">
        <f aca="false">SUM(B456:E456)</f>
        <v>7906</v>
      </c>
      <c r="G456" s="60" t="n">
        <f aca="false">DATE(YEAR(A456),MONTH(A456),1)</f>
        <v>46082</v>
      </c>
      <c r="H456" s="63" t="n">
        <v>0</v>
      </c>
      <c r="I456" s="63" t="n">
        <v>45</v>
      </c>
      <c r="J456" s="43" t="n">
        <f aca="false">H456+I456</f>
        <v>45</v>
      </c>
    </row>
    <row r="457" customFormat="false" ht="15" hidden="false" customHeight="false" outlineLevel="0" collapsed="false">
      <c r="A457" s="62" t="n">
        <v>46110</v>
      </c>
      <c r="B457" s="63" t="n">
        <v>0</v>
      </c>
      <c r="C457" s="63" t="n">
        <v>0</v>
      </c>
      <c r="D457" s="63" t="n">
        <v>0</v>
      </c>
      <c r="E457" s="63" t="n">
        <v>1200</v>
      </c>
      <c r="F457" s="43" t="n">
        <f aca="false">SUM(B457:E457)</f>
        <v>1200</v>
      </c>
      <c r="G457" s="60" t="n">
        <f aca="false">DATE(YEAR(A457),MONTH(A457),1)</f>
        <v>46082</v>
      </c>
      <c r="H457" s="63" t="n">
        <v>0</v>
      </c>
      <c r="I457" s="63" t="n">
        <v>42</v>
      </c>
      <c r="J457" s="43" t="n">
        <f aca="false">H457+I457</f>
        <v>42</v>
      </c>
    </row>
    <row r="458" customFormat="false" ht="15" hidden="false" customHeight="false" outlineLevel="0" collapsed="false">
      <c r="A458" s="62" t="n">
        <v>46111</v>
      </c>
      <c r="B458" s="63" t="n">
        <v>0</v>
      </c>
      <c r="C458" s="63" t="n">
        <v>0</v>
      </c>
      <c r="D458" s="63" t="n">
        <v>0</v>
      </c>
      <c r="E458" s="63" t="n">
        <v>1912</v>
      </c>
      <c r="F458" s="43" t="n">
        <f aca="false">SUM(B458:E458)</f>
        <v>1912</v>
      </c>
      <c r="G458" s="60" t="n">
        <f aca="false">DATE(YEAR(A458),MONTH(A458),1)</f>
        <v>46082</v>
      </c>
      <c r="H458" s="63" t="n">
        <v>0</v>
      </c>
      <c r="I458" s="63" t="n">
        <v>78</v>
      </c>
      <c r="J458" s="43" t="n">
        <f aca="false">H458+I458</f>
        <v>78</v>
      </c>
    </row>
    <row r="459" customFormat="false" ht="15" hidden="false" customHeight="false" outlineLevel="0" collapsed="false">
      <c r="A459" s="62" t="n">
        <v>46112</v>
      </c>
      <c r="B459" s="63" t="n">
        <v>0</v>
      </c>
      <c r="C459" s="63" t="n">
        <v>0</v>
      </c>
      <c r="D459" s="63" t="n">
        <v>0</v>
      </c>
      <c r="E459" s="63" t="n">
        <v>5210</v>
      </c>
      <c r="F459" s="43" t="n">
        <f aca="false">SUM(B459:E459)</f>
        <v>5210</v>
      </c>
      <c r="G459" s="60" t="n">
        <f aca="false">DATE(YEAR(A459),MONTH(A459),1)</f>
        <v>46082</v>
      </c>
      <c r="H459" s="63" t="n">
        <v>0</v>
      </c>
      <c r="I459" s="63" t="n">
        <v>92</v>
      </c>
      <c r="J459" s="43" t="n">
        <f aca="false">H459+I459</f>
        <v>92</v>
      </c>
    </row>
    <row r="460" customFormat="false" ht="15" hidden="false" customHeight="false" outlineLevel="0" collapsed="false">
      <c r="A460" s="62" t="n">
        <v>46113</v>
      </c>
      <c r="B460" s="63" t="n">
        <v>0</v>
      </c>
      <c r="C460" s="63" t="n">
        <v>0</v>
      </c>
      <c r="D460" s="63" t="n">
        <v>0</v>
      </c>
      <c r="E460" s="63" t="n">
        <v>8</v>
      </c>
      <c r="F460" s="43" t="n">
        <f aca="false">SUM(B460:E460)</f>
        <v>8</v>
      </c>
      <c r="G460" s="60" t="n">
        <f aca="false">DATE(YEAR(A460),MONTH(A460),1)</f>
        <v>46113</v>
      </c>
      <c r="H460" s="63" t="n">
        <v>0</v>
      </c>
      <c r="I460" s="63" t="n">
        <v>4</v>
      </c>
      <c r="J460" s="43" t="n">
        <f aca="false">H460+I460</f>
        <v>4</v>
      </c>
    </row>
    <row r="461" customFormat="false" ht="15" hidden="false" customHeight="false" outlineLevel="0" collapsed="false">
      <c r="A461" s="62" t="n">
        <v>46114</v>
      </c>
      <c r="B461" s="63" t="n">
        <v>0</v>
      </c>
      <c r="C461" s="63" t="n">
        <v>0</v>
      </c>
      <c r="D461" s="63" t="n">
        <v>0</v>
      </c>
      <c r="E461" s="63" t="n">
        <v>0</v>
      </c>
      <c r="F461" s="43" t="n">
        <f aca="false">SUM(B461:E461)</f>
        <v>0</v>
      </c>
      <c r="G461" s="60" t="n">
        <f aca="false">DATE(YEAR(A461),MONTH(A461),1)</f>
        <v>46113</v>
      </c>
      <c r="H461" s="63" t="n">
        <v>0</v>
      </c>
      <c r="I461" s="63" t="n">
        <v>5</v>
      </c>
      <c r="J461" s="43" t="n">
        <f aca="false">H461+I461</f>
        <v>5</v>
      </c>
    </row>
    <row r="462" customFormat="false" ht="15" hidden="false" customHeight="false" outlineLevel="0" collapsed="false">
      <c r="A462" s="62" t="n">
        <v>46115</v>
      </c>
      <c r="B462" s="63" t="n">
        <v>0</v>
      </c>
      <c r="C462" s="63" t="n">
        <v>0</v>
      </c>
      <c r="D462" s="63" t="n">
        <v>0</v>
      </c>
      <c r="E462" s="63" t="n">
        <v>2</v>
      </c>
      <c r="F462" s="43" t="n">
        <f aca="false">SUM(B462:E462)</f>
        <v>2</v>
      </c>
      <c r="G462" s="60" t="n">
        <f aca="false">DATE(YEAR(A462),MONTH(A462),1)</f>
        <v>46113</v>
      </c>
      <c r="H462" s="63" t="n">
        <v>0</v>
      </c>
      <c r="I462" s="63" t="n">
        <v>6</v>
      </c>
      <c r="J462" s="43" t="n">
        <f aca="false">H462+I462</f>
        <v>6</v>
      </c>
    </row>
    <row r="463" customFormat="false" ht="15" hidden="false" customHeight="false" outlineLevel="0" collapsed="false">
      <c r="A463" s="62" t="n">
        <v>46116</v>
      </c>
      <c r="B463" s="63" t="n">
        <v>0</v>
      </c>
      <c r="C463" s="63" t="n">
        <v>0</v>
      </c>
      <c r="D463" s="63" t="n">
        <v>0</v>
      </c>
      <c r="E463" s="63" t="n">
        <v>0</v>
      </c>
      <c r="F463" s="43" t="n">
        <f aca="false">SUM(B463:E463)</f>
        <v>0</v>
      </c>
      <c r="G463" s="60" t="n">
        <f aca="false">DATE(YEAR(A463),MONTH(A463),1)</f>
        <v>46113</v>
      </c>
      <c r="H463" s="63" t="n">
        <v>0</v>
      </c>
      <c r="I463" s="63" t="n">
        <v>4</v>
      </c>
      <c r="J463" s="43" t="n">
        <f aca="false">H463+I463</f>
        <v>4</v>
      </c>
    </row>
    <row r="464" customFormat="false" ht="15" hidden="false" customHeight="false" outlineLevel="0" collapsed="false">
      <c r="A464" s="62" t="n">
        <v>46117</v>
      </c>
      <c r="B464" s="63" t="n">
        <v>0</v>
      </c>
      <c r="C464" s="63" t="n">
        <v>0</v>
      </c>
      <c r="D464" s="63" t="n">
        <v>0</v>
      </c>
      <c r="E464" s="63" t="n">
        <v>1</v>
      </c>
      <c r="F464" s="43" t="n">
        <f aca="false">SUM(B464:E464)</f>
        <v>1</v>
      </c>
      <c r="G464" s="60" t="n">
        <f aca="false">DATE(YEAR(A464),MONTH(A464),1)</f>
        <v>46113</v>
      </c>
      <c r="H464" s="63" t="n">
        <v>0</v>
      </c>
      <c r="I464" s="63" t="n">
        <v>2</v>
      </c>
      <c r="J464" s="43" t="n">
        <f aca="false">H464+I464</f>
        <v>2</v>
      </c>
    </row>
    <row r="465" customFormat="false" ht="15" hidden="false" customHeight="false" outlineLevel="0" collapsed="false">
      <c r="A465" s="62" t="n">
        <v>46118</v>
      </c>
      <c r="B465" s="63" t="n">
        <v>0</v>
      </c>
      <c r="C465" s="63" t="n">
        <v>0</v>
      </c>
      <c r="D465" s="63" t="n">
        <v>0</v>
      </c>
      <c r="E465" s="63" t="n">
        <v>4</v>
      </c>
      <c r="F465" s="43" t="n">
        <f aca="false">SUM(B465:E465)</f>
        <v>4</v>
      </c>
      <c r="G465" s="60" t="n">
        <f aca="false">DATE(YEAR(A465),MONTH(A465),1)</f>
        <v>46113</v>
      </c>
      <c r="H465" s="63" t="n">
        <v>0</v>
      </c>
      <c r="I465" s="63" t="n">
        <v>4</v>
      </c>
      <c r="J465" s="43" t="n">
        <f aca="false">H465+I465</f>
        <v>4</v>
      </c>
    </row>
    <row r="466" customFormat="false" ht="15" hidden="false" customHeight="false" outlineLevel="0" collapsed="false">
      <c r="A466" s="62" t="n">
        <v>46119</v>
      </c>
      <c r="B466" s="63" t="n">
        <v>0</v>
      </c>
      <c r="C466" s="63" t="n">
        <v>0</v>
      </c>
      <c r="D466" s="63" t="n">
        <v>0</v>
      </c>
      <c r="E466" s="63" t="n">
        <v>2</v>
      </c>
      <c r="F466" s="43" t="n">
        <f aca="false">SUM(B466:E466)</f>
        <v>2</v>
      </c>
      <c r="G466" s="60" t="n">
        <f aca="false">DATE(YEAR(A466),MONTH(A466),1)</f>
        <v>46113</v>
      </c>
      <c r="H466" s="63" t="n">
        <v>0</v>
      </c>
      <c r="I466" s="63" t="n">
        <v>5</v>
      </c>
      <c r="J466" s="43" t="n">
        <f aca="false">H466+I466</f>
        <v>5</v>
      </c>
    </row>
    <row r="467" customFormat="false" ht="15" hidden="false" customHeight="false" outlineLevel="0" collapsed="false">
      <c r="A467" s="62" t="n">
        <v>46120</v>
      </c>
      <c r="B467" s="63" t="n">
        <v>0</v>
      </c>
      <c r="C467" s="63" t="n">
        <v>0</v>
      </c>
      <c r="D467" s="63" t="n">
        <v>0</v>
      </c>
      <c r="E467" s="63" t="n">
        <v>2913</v>
      </c>
      <c r="F467" s="43" t="n">
        <f aca="false">SUM(B467:E467)</f>
        <v>2913</v>
      </c>
      <c r="G467" s="60" t="n">
        <f aca="false">DATE(YEAR(A467),MONTH(A467),1)</f>
        <v>46113</v>
      </c>
      <c r="H467" s="63" t="n">
        <v>0</v>
      </c>
      <c r="I467" s="63" t="n">
        <v>293</v>
      </c>
      <c r="J467" s="43" t="n">
        <f aca="false">H467+I467</f>
        <v>293</v>
      </c>
    </row>
    <row r="468" customFormat="false" ht="15" hidden="false" customHeight="false" outlineLevel="0" collapsed="false">
      <c r="A468" s="62" t="n">
        <v>46121</v>
      </c>
      <c r="B468" s="63" t="n">
        <v>0</v>
      </c>
      <c r="C468" s="63" t="n">
        <v>0</v>
      </c>
      <c r="D468" s="63" t="n">
        <v>0</v>
      </c>
      <c r="E468" s="63" t="n">
        <v>317</v>
      </c>
      <c r="F468" s="43" t="n">
        <f aca="false">SUM(B468:E468)</f>
        <v>317</v>
      </c>
      <c r="G468" s="60" t="n">
        <f aca="false">DATE(YEAR(A468),MONTH(A468),1)</f>
        <v>46113</v>
      </c>
      <c r="H468" s="63" t="n">
        <v>0</v>
      </c>
      <c r="I468" s="63" t="n">
        <v>97</v>
      </c>
      <c r="J468" s="43" t="n">
        <f aca="false">H468+I468</f>
        <v>97</v>
      </c>
    </row>
    <row r="469" customFormat="false" ht="15" hidden="false" customHeight="false" outlineLevel="0" collapsed="false">
      <c r="A469" s="62" t="n">
        <v>46122</v>
      </c>
      <c r="B469" s="63" t="n">
        <v>0</v>
      </c>
      <c r="C469" s="63" t="n">
        <v>0</v>
      </c>
      <c r="D469" s="63" t="n">
        <v>0</v>
      </c>
      <c r="E469" s="63" t="n">
        <v>4</v>
      </c>
      <c r="F469" s="43" t="n">
        <f aca="false">SUM(B469:E469)</f>
        <v>4</v>
      </c>
      <c r="G469" s="60" t="n">
        <f aca="false">DATE(YEAR(A469),MONTH(A469),1)</f>
        <v>46113</v>
      </c>
      <c r="H469" s="63" t="n">
        <v>0</v>
      </c>
      <c r="I469" s="63" t="n">
        <v>16</v>
      </c>
      <c r="J469" s="43" t="n">
        <f aca="false">H469+I469</f>
        <v>16</v>
      </c>
    </row>
    <row r="470" customFormat="false" ht="15" hidden="false" customHeight="false" outlineLevel="0" collapsed="false">
      <c r="A470" s="62" t="n">
        <v>46123</v>
      </c>
      <c r="B470" s="63" t="n">
        <v>0</v>
      </c>
      <c r="C470" s="63" t="n">
        <v>0</v>
      </c>
      <c r="D470" s="63" t="n">
        <v>0</v>
      </c>
      <c r="E470" s="63" t="n">
        <v>1</v>
      </c>
      <c r="F470" s="43" t="n">
        <f aca="false">SUM(B470:E470)</f>
        <v>1</v>
      </c>
      <c r="G470" s="60" t="n">
        <f aca="false">DATE(YEAR(A470),MONTH(A470),1)</f>
        <v>46113</v>
      </c>
      <c r="H470" s="63" t="n">
        <v>0</v>
      </c>
      <c r="I470" s="63" t="n">
        <v>6</v>
      </c>
      <c r="J470" s="43" t="n">
        <f aca="false">H470+I470</f>
        <v>6</v>
      </c>
    </row>
    <row r="471" customFormat="false" ht="15" hidden="false" customHeight="false" outlineLevel="0" collapsed="false">
      <c r="A471" s="62" t="n">
        <v>46124</v>
      </c>
      <c r="B471" s="63" t="n">
        <v>0</v>
      </c>
      <c r="C471" s="63" t="n">
        <v>0</v>
      </c>
      <c r="D471" s="63" t="n">
        <v>0</v>
      </c>
      <c r="E471" s="63" t="n">
        <v>2</v>
      </c>
      <c r="F471" s="43" t="n">
        <f aca="false">SUM(B471:E471)</f>
        <v>2</v>
      </c>
      <c r="G471" s="60" t="n">
        <f aca="false">DATE(YEAR(A471),MONTH(A471),1)</f>
        <v>46113</v>
      </c>
      <c r="H471" s="63" t="n">
        <v>0</v>
      </c>
      <c r="I471" s="63" t="n">
        <v>1</v>
      </c>
      <c r="J471" s="43" t="n">
        <f aca="false">H471+I471</f>
        <v>1</v>
      </c>
    </row>
    <row r="472" customFormat="false" ht="15" hidden="false" customHeight="false" outlineLevel="0" collapsed="false">
      <c r="A472" s="62" t="n">
        <v>46125</v>
      </c>
      <c r="B472" s="63" t="n">
        <v>0</v>
      </c>
      <c r="C472" s="63" t="n">
        <v>0</v>
      </c>
      <c r="D472" s="63" t="n">
        <v>0</v>
      </c>
      <c r="E472" s="63" t="n">
        <v>1</v>
      </c>
      <c r="F472" s="43" t="n">
        <f aca="false">SUM(B472:E472)</f>
        <v>1</v>
      </c>
      <c r="G472" s="60" t="n">
        <f aca="false">DATE(YEAR(A472),MONTH(A472),1)</f>
        <v>46113</v>
      </c>
      <c r="H472" s="63" t="n">
        <v>0</v>
      </c>
      <c r="I472" s="63" t="n">
        <v>6</v>
      </c>
      <c r="J472" s="43" t="n">
        <f aca="false">H472+I472</f>
        <v>6</v>
      </c>
    </row>
    <row r="473" customFormat="false" ht="15" hidden="false" customHeight="false" outlineLevel="0" collapsed="false">
      <c r="A473" s="62" t="n">
        <v>46126</v>
      </c>
      <c r="B473" s="63" t="n">
        <v>0</v>
      </c>
      <c r="C473" s="63" t="n">
        <v>0</v>
      </c>
      <c r="D473" s="63" t="n">
        <v>0</v>
      </c>
      <c r="E473" s="63" t="n">
        <v>464</v>
      </c>
      <c r="F473" s="43" t="n">
        <f aca="false">SUM(B473:E473)</f>
        <v>464</v>
      </c>
      <c r="G473" s="60" t="n">
        <f aca="false">DATE(YEAR(A473),MONTH(A473),1)</f>
        <v>46113</v>
      </c>
      <c r="H473" s="63" t="n">
        <v>0</v>
      </c>
      <c r="I473" s="63" t="n">
        <v>142</v>
      </c>
      <c r="J473" s="43" t="n">
        <f aca="false">H473+I473</f>
        <v>142</v>
      </c>
    </row>
    <row r="474" customFormat="false" ht="15" hidden="false" customHeight="false" outlineLevel="0" collapsed="false">
      <c r="A474" s="62" t="n">
        <v>46127</v>
      </c>
      <c r="B474" s="63" t="n">
        <v>0</v>
      </c>
      <c r="C474" s="63" t="n">
        <v>0</v>
      </c>
      <c r="D474" s="63" t="n">
        <v>0</v>
      </c>
      <c r="E474" s="63" t="n">
        <v>1522</v>
      </c>
      <c r="F474" s="43" t="n">
        <f aca="false">SUM(B474:E474)</f>
        <v>1522</v>
      </c>
      <c r="G474" s="60" t="n">
        <f aca="false">DATE(YEAR(A474),MONTH(A474),1)</f>
        <v>46113</v>
      </c>
      <c r="H474" s="63" t="n">
        <v>0</v>
      </c>
      <c r="I474" s="63" t="n">
        <v>25</v>
      </c>
      <c r="J474" s="43" t="n">
        <f aca="false">H474+I474</f>
        <v>25</v>
      </c>
    </row>
    <row r="475" customFormat="false" ht="15" hidden="false" customHeight="false" outlineLevel="0" collapsed="false">
      <c r="A475" s="62" t="n">
        <v>46128</v>
      </c>
      <c r="B475" s="63" t="n">
        <v>0</v>
      </c>
      <c r="C475" s="63" t="n">
        <v>0</v>
      </c>
      <c r="D475" s="63" t="n">
        <v>0</v>
      </c>
      <c r="E475" s="63" t="n">
        <v>1</v>
      </c>
      <c r="F475" s="43" t="n">
        <f aca="false">SUM(B475:E475)</f>
        <v>1</v>
      </c>
      <c r="G475" s="60" t="n">
        <f aca="false">DATE(YEAR(A475),MONTH(A475),1)</f>
        <v>46113</v>
      </c>
      <c r="H475" s="63" t="n">
        <v>0</v>
      </c>
      <c r="I475" s="63" t="n">
        <v>2</v>
      </c>
      <c r="J475" s="43" t="n">
        <f aca="false">H475+I475</f>
        <v>2</v>
      </c>
    </row>
    <row r="476" customFormat="false" ht="15" hidden="false" customHeight="false" outlineLevel="0" collapsed="false">
      <c r="A476" s="62" t="n">
        <v>46129</v>
      </c>
      <c r="B476" s="63" t="n">
        <v>0</v>
      </c>
      <c r="C476" s="63" t="n">
        <v>0</v>
      </c>
      <c r="D476" s="63" t="n">
        <v>0</v>
      </c>
      <c r="E476" s="63" t="n">
        <v>98</v>
      </c>
      <c r="F476" s="43" t="n">
        <f aca="false">SUM(B476:E476)</f>
        <v>98</v>
      </c>
      <c r="G476" s="60" t="n">
        <f aca="false">DATE(YEAR(A476),MONTH(A476),1)</f>
        <v>46113</v>
      </c>
      <c r="H476" s="63" t="n">
        <v>0</v>
      </c>
      <c r="I476" s="63" t="n">
        <v>5</v>
      </c>
      <c r="J476" s="43" t="n">
        <f aca="false">H476+I476</f>
        <v>5</v>
      </c>
    </row>
    <row r="477" customFormat="false" ht="15" hidden="false" customHeight="false" outlineLevel="0" collapsed="false">
      <c r="A477" s="62" t="n">
        <v>46130</v>
      </c>
      <c r="B477" s="63" t="n">
        <v>0</v>
      </c>
      <c r="C477" s="63" t="n">
        <v>0</v>
      </c>
      <c r="D477" s="63" t="n">
        <v>0</v>
      </c>
      <c r="E477" s="63" t="n">
        <v>1</v>
      </c>
      <c r="F477" s="43" t="n">
        <f aca="false">SUM(B477:E477)</f>
        <v>1</v>
      </c>
      <c r="G477" s="60" t="n">
        <f aca="false">DATE(YEAR(A477),MONTH(A477),1)</f>
        <v>46113</v>
      </c>
      <c r="H477" s="63" t="n">
        <v>0</v>
      </c>
      <c r="I477" s="63" t="n">
        <v>2</v>
      </c>
      <c r="J477" s="43" t="n">
        <f aca="false">H477+I477</f>
        <v>2</v>
      </c>
    </row>
    <row r="478" customFormat="false" ht="15" hidden="false" customHeight="false" outlineLevel="0" collapsed="false">
      <c r="A478" s="62" t="n">
        <v>46131</v>
      </c>
      <c r="B478" s="63" t="n">
        <v>0</v>
      </c>
      <c r="C478" s="63" t="n">
        <v>0</v>
      </c>
      <c r="D478" s="63" t="n">
        <v>0</v>
      </c>
      <c r="E478" s="63" t="n">
        <v>1</v>
      </c>
      <c r="F478" s="43" t="n">
        <f aca="false">SUM(B478:E478)</f>
        <v>1</v>
      </c>
      <c r="G478" s="60" t="n">
        <f aca="false">DATE(YEAR(A478),MONTH(A478),1)</f>
        <v>46113</v>
      </c>
      <c r="H478" s="63" t="n">
        <v>0</v>
      </c>
      <c r="I478" s="63" t="n">
        <v>4</v>
      </c>
      <c r="J478" s="43" t="n">
        <f aca="false">H478+I478</f>
        <v>4</v>
      </c>
    </row>
    <row r="479" customFormat="false" ht="15" hidden="false" customHeight="false" outlineLevel="0" collapsed="false">
      <c r="A479" s="62" t="n">
        <v>46132</v>
      </c>
      <c r="B479" s="63" t="n">
        <v>0</v>
      </c>
      <c r="C479" s="63" t="n">
        <v>0</v>
      </c>
      <c r="D479" s="63" t="n">
        <v>0</v>
      </c>
      <c r="E479" s="63" t="n">
        <v>1456</v>
      </c>
      <c r="F479" s="43" t="n">
        <f aca="false">SUM(B479:E479)</f>
        <v>1456</v>
      </c>
      <c r="G479" s="60" t="n">
        <f aca="false">DATE(YEAR(A479),MONTH(A479),1)</f>
        <v>46113</v>
      </c>
      <c r="H479" s="63" t="n">
        <v>0</v>
      </c>
      <c r="I479" s="63" t="n">
        <v>21</v>
      </c>
      <c r="J479" s="43" t="n">
        <f aca="false">H479+I479</f>
        <v>21</v>
      </c>
    </row>
    <row r="480" customFormat="false" ht="15" hidden="false" customHeight="false" outlineLevel="0" collapsed="false">
      <c r="A480" s="62" t="n">
        <v>46133</v>
      </c>
      <c r="B480" s="63" t="n">
        <v>0</v>
      </c>
      <c r="C480" s="63" t="n">
        <v>0</v>
      </c>
      <c r="D480" s="63" t="n">
        <v>0</v>
      </c>
      <c r="E480" s="63" t="n">
        <v>4</v>
      </c>
      <c r="F480" s="43" t="n">
        <f aca="false">SUM(B480:E480)</f>
        <v>4</v>
      </c>
      <c r="G480" s="60" t="n">
        <f aca="false">DATE(YEAR(A480),MONTH(A480),1)</f>
        <v>46113</v>
      </c>
      <c r="H480" s="63" t="n">
        <v>0</v>
      </c>
      <c r="I480" s="63" t="n">
        <v>7</v>
      </c>
      <c r="J480" s="43" t="n">
        <f aca="false">H480+I480</f>
        <v>7</v>
      </c>
    </row>
    <row r="481" customFormat="false" ht="15" hidden="false" customHeight="false" outlineLevel="0" collapsed="false">
      <c r="A481" s="62" t="n">
        <v>46134</v>
      </c>
      <c r="B481" s="63" t="n">
        <v>0</v>
      </c>
      <c r="C481" s="63" t="n">
        <v>0</v>
      </c>
      <c r="D481" s="63" t="n">
        <v>0</v>
      </c>
      <c r="E481" s="63" t="n">
        <v>3</v>
      </c>
      <c r="F481" s="43" t="n">
        <f aca="false">SUM(B481:E481)</f>
        <v>3</v>
      </c>
      <c r="G481" s="60" t="n">
        <f aca="false">DATE(YEAR(A481),MONTH(A481),1)</f>
        <v>46113</v>
      </c>
      <c r="H481" s="63" t="n">
        <v>0</v>
      </c>
      <c r="I481" s="63" t="n">
        <v>0</v>
      </c>
      <c r="J481" s="43" t="n">
        <f aca="false">H481+I481</f>
        <v>0</v>
      </c>
    </row>
    <row r="482" customFormat="false" ht="15" hidden="false" customHeight="false" outlineLevel="0" collapsed="false">
      <c r="A482" s="62" t="n">
        <v>46135</v>
      </c>
      <c r="B482" s="63" t="n">
        <v>0</v>
      </c>
      <c r="C482" s="63" t="n">
        <v>0</v>
      </c>
      <c r="D482" s="63" t="n">
        <v>0</v>
      </c>
      <c r="E482" s="63" t="n">
        <v>3322</v>
      </c>
      <c r="F482" s="43" t="n">
        <f aca="false">SUM(B482:E482)</f>
        <v>3322</v>
      </c>
      <c r="G482" s="60" t="n">
        <f aca="false">DATE(YEAR(A482),MONTH(A482),1)</f>
        <v>46113</v>
      </c>
      <c r="H482" s="63" t="n">
        <v>0</v>
      </c>
      <c r="I482" s="63" t="n">
        <v>654</v>
      </c>
      <c r="J482" s="43" t="n">
        <f aca="false">H482+I482</f>
        <v>654</v>
      </c>
    </row>
    <row r="483" customFormat="false" ht="15" hidden="false" customHeight="false" outlineLevel="0" collapsed="false">
      <c r="A483" s="62" t="n">
        <v>46136</v>
      </c>
      <c r="B483" s="63" t="n">
        <v>0</v>
      </c>
      <c r="C483" s="63" t="n">
        <v>0</v>
      </c>
      <c r="D483" s="63" t="n">
        <v>0</v>
      </c>
      <c r="E483" s="63" t="n">
        <v>7399</v>
      </c>
      <c r="F483" s="43" t="n">
        <f aca="false">SUM(B483:E483)</f>
        <v>7399</v>
      </c>
      <c r="G483" s="60" t="n">
        <f aca="false">DATE(YEAR(A483),MONTH(A483),1)</f>
        <v>46113</v>
      </c>
      <c r="H483" s="63" t="n">
        <v>0</v>
      </c>
      <c r="I483" s="63" t="n">
        <v>226</v>
      </c>
      <c r="J483" s="43" t="n">
        <f aca="false">H483+I483</f>
        <v>226</v>
      </c>
    </row>
    <row r="484" customFormat="false" ht="15" hidden="false" customHeight="false" outlineLevel="0" collapsed="false">
      <c r="A484" s="62" t="n">
        <v>46137</v>
      </c>
      <c r="B484" s="63" t="n">
        <v>0</v>
      </c>
      <c r="C484" s="63" t="n">
        <v>0</v>
      </c>
      <c r="D484" s="63" t="n">
        <v>0</v>
      </c>
      <c r="E484" s="63" t="n">
        <v>2584</v>
      </c>
      <c r="F484" s="43" t="n">
        <f aca="false">SUM(B484:E484)</f>
        <v>2584</v>
      </c>
      <c r="G484" s="60" t="n">
        <f aca="false">DATE(YEAR(A484),MONTH(A484),1)</f>
        <v>46113</v>
      </c>
      <c r="H484" s="63" t="n">
        <v>0</v>
      </c>
      <c r="I484" s="63" t="n">
        <v>65</v>
      </c>
      <c r="J484" s="43" t="n">
        <f aca="false">H484+I484</f>
        <v>65</v>
      </c>
    </row>
    <row r="485" customFormat="false" ht="15" hidden="false" customHeight="false" outlineLevel="0" collapsed="false">
      <c r="A485" s="62" t="n">
        <v>46138</v>
      </c>
      <c r="B485" s="63" t="n">
        <v>0</v>
      </c>
      <c r="C485" s="63" t="n">
        <v>0</v>
      </c>
      <c r="D485" s="63" t="n">
        <v>0</v>
      </c>
      <c r="E485" s="63" t="n">
        <v>10</v>
      </c>
      <c r="F485" s="43" t="n">
        <f aca="false">SUM(B485:E485)</f>
        <v>10</v>
      </c>
      <c r="G485" s="60" t="n">
        <f aca="false">DATE(YEAR(A485),MONTH(A485),1)</f>
        <v>46113</v>
      </c>
      <c r="H485" s="63" t="n">
        <v>0</v>
      </c>
      <c r="I485" s="63" t="n">
        <v>4</v>
      </c>
      <c r="J485" s="43" t="n">
        <f aca="false">H485+I485</f>
        <v>4</v>
      </c>
    </row>
    <row r="486" customFormat="false" ht="15" hidden="false" customHeight="false" outlineLevel="0" collapsed="false">
      <c r="A486" s="62" t="n">
        <v>46139</v>
      </c>
      <c r="B486" s="63" t="n">
        <v>0</v>
      </c>
      <c r="C486" s="63" t="n">
        <v>0</v>
      </c>
      <c r="D486" s="63" t="n">
        <v>0</v>
      </c>
      <c r="E486" s="63" t="n">
        <v>13026</v>
      </c>
      <c r="F486" s="43" t="n">
        <f aca="false">SUM(B486:E486)</f>
        <v>13026</v>
      </c>
      <c r="G486" s="60" t="n">
        <f aca="false">DATE(YEAR(A486),MONTH(A486),1)</f>
        <v>46113</v>
      </c>
      <c r="H486" s="63" t="n">
        <v>0</v>
      </c>
      <c r="I486" s="63" t="n">
        <v>175</v>
      </c>
      <c r="J486" s="43" t="n">
        <f aca="false">H486+I486</f>
        <v>175</v>
      </c>
    </row>
    <row r="487" customFormat="false" ht="15" hidden="false" customHeight="false" outlineLevel="0" collapsed="false">
      <c r="A487" s="62" t="n">
        <v>46140</v>
      </c>
      <c r="B487" s="63" t="n">
        <v>0</v>
      </c>
      <c r="C487" s="63" t="n">
        <v>0</v>
      </c>
      <c r="D487" s="63" t="n">
        <v>0</v>
      </c>
      <c r="E487" s="63" t="n">
        <v>2368</v>
      </c>
      <c r="F487" s="43" t="n">
        <f aca="false">SUM(B487:E487)</f>
        <v>2368</v>
      </c>
      <c r="G487" s="60" t="n">
        <f aca="false">DATE(YEAR(A487),MONTH(A487),1)</f>
        <v>46113</v>
      </c>
      <c r="H487" s="63" t="n">
        <v>0</v>
      </c>
      <c r="I487" s="63" t="n">
        <v>155</v>
      </c>
      <c r="J487" s="43" t="n">
        <f aca="false">H487+I487</f>
        <v>155</v>
      </c>
    </row>
    <row r="488" customFormat="false" ht="15" hidden="false" customHeight="false" outlineLevel="0" collapsed="false">
      <c r="A488" s="62" t="n">
        <v>46141</v>
      </c>
      <c r="B488" s="63" t="n">
        <v>0</v>
      </c>
      <c r="C488" s="63" t="n">
        <v>0</v>
      </c>
      <c r="D488" s="63" t="n">
        <v>0</v>
      </c>
      <c r="E488" s="63" t="n">
        <v>5478</v>
      </c>
      <c r="F488" s="43" t="n">
        <f aca="false">SUM(B488:E488)</f>
        <v>5478</v>
      </c>
      <c r="G488" s="60" t="n">
        <f aca="false">DATE(YEAR(A488),MONTH(A488),1)</f>
        <v>46113</v>
      </c>
      <c r="H488" s="63" t="n">
        <v>0</v>
      </c>
      <c r="I488" s="63" t="n">
        <v>156</v>
      </c>
      <c r="J488" s="43" t="n">
        <f aca="false">H488+I488</f>
        <v>156</v>
      </c>
    </row>
    <row r="489" customFormat="false" ht="15" hidden="false" customHeight="false" outlineLevel="0" collapsed="false">
      <c r="A489" s="62" t="n">
        <v>46142</v>
      </c>
      <c r="B489" s="63" t="n">
        <v>0</v>
      </c>
      <c r="C489" s="63" t="n">
        <v>0</v>
      </c>
      <c r="D489" s="63" t="n">
        <v>0</v>
      </c>
      <c r="E489" s="63" t="n">
        <v>16</v>
      </c>
      <c r="F489" s="43" t="n">
        <f aca="false">SUM(B489:E489)</f>
        <v>16</v>
      </c>
      <c r="G489" s="60" t="n">
        <f aca="false">DATE(YEAR(A489),MONTH(A489),1)</f>
        <v>46113</v>
      </c>
      <c r="H489" s="63" t="n">
        <v>0</v>
      </c>
      <c r="I489" s="63" t="n">
        <v>54</v>
      </c>
      <c r="J489" s="43" t="n">
        <f aca="false">H489+I489</f>
        <v>54</v>
      </c>
    </row>
    <row r="490" customFormat="false" ht="15" hidden="false" customHeight="false" outlineLevel="0" collapsed="false">
      <c r="A490" s="62" t="n">
        <v>46143</v>
      </c>
      <c r="B490" s="63" t="n">
        <v>0</v>
      </c>
      <c r="C490" s="63" t="n">
        <v>0</v>
      </c>
      <c r="D490" s="63" t="n">
        <v>0</v>
      </c>
      <c r="E490" s="63" t="n">
        <v>9</v>
      </c>
      <c r="F490" s="43" t="n">
        <f aca="false">SUM(B490:E490)</f>
        <v>9</v>
      </c>
      <c r="G490" s="60" t="n">
        <f aca="false">DATE(YEAR(A490),MONTH(A490),1)</f>
        <v>46143</v>
      </c>
      <c r="H490" s="63" t="n">
        <v>0</v>
      </c>
      <c r="I490" s="63" t="n">
        <v>6</v>
      </c>
      <c r="J490" s="43" t="n">
        <f aca="false">H490+I490</f>
        <v>6</v>
      </c>
    </row>
    <row r="491" customFormat="false" ht="15" hidden="false" customHeight="false" outlineLevel="0" collapsed="false">
      <c r="A491" s="62" t="n">
        <v>46144</v>
      </c>
      <c r="B491" s="63" t="n">
        <v>0</v>
      </c>
      <c r="C491" s="63" t="n">
        <v>0</v>
      </c>
      <c r="D491" s="63" t="n">
        <v>0</v>
      </c>
      <c r="E491" s="63" t="n">
        <v>0</v>
      </c>
      <c r="F491" s="43" t="n">
        <f aca="false">SUM(B491:E491)</f>
        <v>0</v>
      </c>
      <c r="G491" s="60" t="n">
        <f aca="false">DATE(YEAR(A491),MONTH(A491),1)</f>
        <v>46143</v>
      </c>
      <c r="H491" s="63" t="n">
        <v>0</v>
      </c>
      <c r="I491" s="63" t="n">
        <v>1</v>
      </c>
      <c r="J491" s="43" t="n">
        <f aca="false">H491+I491</f>
        <v>1</v>
      </c>
    </row>
    <row r="492" customFormat="false" ht="15" hidden="false" customHeight="false" outlineLevel="0" collapsed="false">
      <c r="A492" s="62" t="n">
        <v>46145</v>
      </c>
      <c r="B492" s="63" t="n">
        <v>0</v>
      </c>
      <c r="C492" s="63" t="n">
        <v>0</v>
      </c>
      <c r="D492" s="63" t="n">
        <v>0</v>
      </c>
      <c r="E492" s="63" t="n">
        <v>2</v>
      </c>
      <c r="F492" s="43" t="n">
        <f aca="false">SUM(B492:E492)</f>
        <v>2</v>
      </c>
      <c r="G492" s="60" t="n">
        <f aca="false">DATE(YEAR(A492),MONTH(A492),1)</f>
        <v>46143</v>
      </c>
      <c r="H492" s="63" t="n">
        <v>0</v>
      </c>
      <c r="I492" s="63" t="n">
        <v>0</v>
      </c>
      <c r="J492" s="43" t="n">
        <f aca="false">H492+I492</f>
        <v>0</v>
      </c>
    </row>
    <row r="493" customFormat="false" ht="15" hidden="false" customHeight="false" outlineLevel="0" collapsed="false">
      <c r="A493" s="62" t="n">
        <v>46146</v>
      </c>
      <c r="B493" s="63" t="n">
        <v>0</v>
      </c>
      <c r="C493" s="63" t="n">
        <v>0</v>
      </c>
      <c r="D493" s="63" t="n">
        <v>0</v>
      </c>
      <c r="E493" s="63" t="n">
        <v>4</v>
      </c>
      <c r="F493" s="43" t="n">
        <f aca="false">SUM(B493:E493)</f>
        <v>4</v>
      </c>
      <c r="G493" s="60" t="n">
        <f aca="false">DATE(YEAR(A493),MONTH(A493),1)</f>
        <v>46143</v>
      </c>
      <c r="H493" s="63" t="n">
        <v>0</v>
      </c>
      <c r="I493" s="63" t="n">
        <v>2</v>
      </c>
      <c r="J493" s="43" t="n">
        <f aca="false">H493+I493</f>
        <v>2</v>
      </c>
    </row>
    <row r="494" customFormat="false" ht="15" hidden="false" customHeight="false" outlineLevel="0" collapsed="false">
      <c r="A494" s="62" t="n">
        <v>46147</v>
      </c>
      <c r="B494" s="63" t="n">
        <v>0</v>
      </c>
      <c r="C494" s="63" t="n">
        <v>0</v>
      </c>
      <c r="D494" s="63" t="n">
        <v>0</v>
      </c>
      <c r="E494" s="63" t="n">
        <v>3</v>
      </c>
      <c r="F494" s="43" t="n">
        <f aca="false">SUM(B494:E494)</f>
        <v>3</v>
      </c>
      <c r="G494" s="60" t="n">
        <f aca="false">DATE(YEAR(A494),MONTH(A494),1)</f>
        <v>46143</v>
      </c>
      <c r="H494" s="63" t="n">
        <v>0</v>
      </c>
      <c r="I494" s="63" t="n">
        <v>8</v>
      </c>
      <c r="J494" s="43" t="n">
        <f aca="false">H494+I494</f>
        <v>8</v>
      </c>
    </row>
    <row r="495" customFormat="false" ht="15" hidden="false" customHeight="false" outlineLevel="0" collapsed="false">
      <c r="A495" s="62" t="n">
        <v>46148</v>
      </c>
      <c r="B495" s="63" t="n">
        <v>0</v>
      </c>
      <c r="C495" s="63" t="n">
        <v>0</v>
      </c>
      <c r="D495" s="63" t="n">
        <v>0</v>
      </c>
      <c r="E495" s="63" t="n">
        <v>2</v>
      </c>
      <c r="F495" s="43" t="n">
        <f aca="false">SUM(B495:E495)</f>
        <v>2</v>
      </c>
      <c r="G495" s="60" t="n">
        <f aca="false">DATE(YEAR(A495),MONTH(A495),1)</f>
        <v>46143</v>
      </c>
      <c r="H495" s="63" t="n">
        <v>0</v>
      </c>
      <c r="I495" s="63" t="n">
        <v>7</v>
      </c>
      <c r="J495" s="43" t="n">
        <f aca="false">H495+I495</f>
        <v>7</v>
      </c>
    </row>
    <row r="496" customFormat="false" ht="15" hidden="false" customHeight="false" outlineLevel="0" collapsed="false">
      <c r="A496" s="62" t="n">
        <v>46149</v>
      </c>
      <c r="B496" s="63" t="n">
        <v>0</v>
      </c>
      <c r="C496" s="63" t="n">
        <v>0</v>
      </c>
      <c r="D496" s="63" t="n">
        <v>0</v>
      </c>
      <c r="E496" s="63" t="n">
        <v>6717</v>
      </c>
      <c r="F496" s="43" t="n">
        <f aca="false">SUM(B496:E496)</f>
        <v>6717</v>
      </c>
      <c r="G496" s="60" t="n">
        <f aca="false">DATE(YEAR(A496),MONTH(A496),1)</f>
        <v>46143</v>
      </c>
      <c r="H496" s="63" t="n">
        <v>0</v>
      </c>
      <c r="I496" s="63" t="n">
        <v>86</v>
      </c>
      <c r="J496" s="43" t="n">
        <f aca="false">H496+I496</f>
        <v>86</v>
      </c>
    </row>
    <row r="497" customFormat="false" ht="15" hidden="false" customHeight="false" outlineLevel="0" collapsed="false">
      <c r="A497" s="62" t="n">
        <v>46150</v>
      </c>
      <c r="B497" s="63" t="n">
        <v>0</v>
      </c>
      <c r="C497" s="63" t="n">
        <v>0</v>
      </c>
      <c r="D497" s="63" t="n">
        <v>0</v>
      </c>
      <c r="E497" s="63" t="n">
        <v>25</v>
      </c>
      <c r="F497" s="43" t="n">
        <f aca="false">SUM(B497:E497)</f>
        <v>25</v>
      </c>
      <c r="G497" s="60" t="n">
        <f aca="false">DATE(YEAR(A497),MONTH(A497),1)</f>
        <v>46143</v>
      </c>
      <c r="H497" s="63" t="n">
        <v>0</v>
      </c>
      <c r="I497" s="63" t="n">
        <v>6</v>
      </c>
      <c r="J497" s="43" t="n">
        <f aca="false">H497+I497</f>
        <v>6</v>
      </c>
    </row>
    <row r="498" customFormat="false" ht="15" hidden="false" customHeight="false" outlineLevel="0" collapsed="false">
      <c r="A498" s="62" t="n">
        <v>46151</v>
      </c>
      <c r="B498" s="63" t="n">
        <v>0</v>
      </c>
      <c r="C498" s="63" t="n">
        <v>0</v>
      </c>
      <c r="D498" s="63" t="n">
        <v>0</v>
      </c>
      <c r="E498" s="63" t="n">
        <v>6</v>
      </c>
      <c r="F498" s="43" t="n">
        <f aca="false">SUM(B498:E498)</f>
        <v>6</v>
      </c>
      <c r="G498" s="60" t="n">
        <f aca="false">DATE(YEAR(A498),MONTH(A498),1)</f>
        <v>46143</v>
      </c>
      <c r="H498" s="63" t="n">
        <v>0</v>
      </c>
      <c r="I498" s="63" t="n">
        <v>6</v>
      </c>
      <c r="J498" s="43" t="n">
        <f aca="false">H498+I498</f>
        <v>6</v>
      </c>
    </row>
    <row r="499" customFormat="false" ht="15" hidden="false" customHeight="false" outlineLevel="0" collapsed="false">
      <c r="A499" s="62" t="n">
        <v>46152</v>
      </c>
      <c r="B499" s="63" t="n">
        <v>0</v>
      </c>
      <c r="C499" s="63" t="n">
        <v>0</v>
      </c>
      <c r="D499" s="63" t="n">
        <v>0</v>
      </c>
      <c r="E499" s="63" t="n">
        <v>2</v>
      </c>
      <c r="F499" s="43" t="n">
        <f aca="false">SUM(B499:E499)</f>
        <v>2</v>
      </c>
      <c r="G499" s="60" t="n">
        <f aca="false">DATE(YEAR(A499),MONTH(A499),1)</f>
        <v>46143</v>
      </c>
      <c r="H499" s="63" t="n">
        <v>0</v>
      </c>
      <c r="I499" s="63" t="n">
        <v>8</v>
      </c>
      <c r="J499" s="43" t="n">
        <f aca="false">H499+I499</f>
        <v>8</v>
      </c>
    </row>
    <row r="500" customFormat="false" ht="15" hidden="false" customHeight="false" outlineLevel="0" collapsed="false">
      <c r="A500" s="62" t="n">
        <v>46153</v>
      </c>
      <c r="B500" s="63" t="n">
        <v>0</v>
      </c>
      <c r="C500" s="63" t="n">
        <v>0</v>
      </c>
      <c r="D500" s="63" t="n">
        <v>0</v>
      </c>
      <c r="E500" s="63" t="n">
        <v>3948</v>
      </c>
      <c r="F500" s="43" t="n">
        <f aca="false">SUM(B500:E500)</f>
        <v>3948</v>
      </c>
      <c r="G500" s="60" t="n">
        <f aca="false">DATE(YEAR(A500),MONTH(A500),1)</f>
        <v>46143</v>
      </c>
      <c r="H500" s="63" t="n">
        <v>0</v>
      </c>
      <c r="I500" s="63" t="n">
        <v>256</v>
      </c>
      <c r="J500" s="43" t="n">
        <f aca="false">H500+I500</f>
        <v>256</v>
      </c>
    </row>
    <row r="501" customFormat="false" ht="15" hidden="false" customHeight="false" outlineLevel="0" collapsed="false">
      <c r="A501" s="62" t="n">
        <v>46154</v>
      </c>
      <c r="B501" s="63" t="n">
        <v>0</v>
      </c>
      <c r="C501" s="63" t="n">
        <v>0</v>
      </c>
      <c r="D501" s="63" t="n">
        <v>0</v>
      </c>
      <c r="E501" s="63" t="n">
        <v>8840</v>
      </c>
      <c r="F501" s="43" t="n">
        <f aca="false">SUM(B501:E501)</f>
        <v>8840</v>
      </c>
      <c r="G501" s="60" t="n">
        <f aca="false">DATE(YEAR(A501),MONTH(A501),1)</f>
        <v>46143</v>
      </c>
      <c r="H501" s="63" t="n">
        <v>0</v>
      </c>
      <c r="I501" s="63" t="n">
        <v>136</v>
      </c>
      <c r="J501" s="43" t="n">
        <f aca="false">H501+I501</f>
        <v>136</v>
      </c>
    </row>
    <row r="502" customFormat="false" ht="15" hidden="false" customHeight="false" outlineLevel="0" collapsed="false">
      <c r="A502" s="62" t="n">
        <v>46155</v>
      </c>
      <c r="B502" s="63" t="n">
        <v>0</v>
      </c>
      <c r="C502" s="63" t="n">
        <v>0</v>
      </c>
      <c r="D502" s="63" t="n">
        <v>0</v>
      </c>
      <c r="E502" s="63" t="n">
        <v>2665</v>
      </c>
      <c r="F502" s="43" t="n">
        <f aca="false">SUM(B502:E502)</f>
        <v>2665</v>
      </c>
      <c r="G502" s="60" t="n">
        <f aca="false">DATE(YEAR(A502),MONTH(A502),1)</f>
        <v>46143</v>
      </c>
      <c r="H502" s="63" t="n">
        <v>0</v>
      </c>
      <c r="I502" s="63" t="n">
        <v>104</v>
      </c>
      <c r="J502" s="43" t="n">
        <f aca="false">H502+I502</f>
        <v>104</v>
      </c>
    </row>
    <row r="503" customFormat="false" ht="15" hidden="false" customHeight="false" outlineLevel="0" collapsed="false">
      <c r="A503" s="62" t="n">
        <v>46156</v>
      </c>
      <c r="B503" s="63" t="n">
        <v>0</v>
      </c>
      <c r="C503" s="63" t="n">
        <v>0</v>
      </c>
      <c r="D503" s="63" t="n">
        <v>0</v>
      </c>
      <c r="E503" s="63" t="n">
        <v>9</v>
      </c>
      <c r="F503" s="43" t="n">
        <f aca="false">SUM(B503:E503)</f>
        <v>9</v>
      </c>
      <c r="G503" s="60" t="n">
        <f aca="false">DATE(YEAR(A503),MONTH(A503),1)</f>
        <v>46143</v>
      </c>
      <c r="H503" s="63" t="n">
        <v>0</v>
      </c>
      <c r="I503" s="63" t="n">
        <v>55</v>
      </c>
      <c r="J503" s="43" t="n">
        <f aca="false">H503+I503</f>
        <v>55</v>
      </c>
    </row>
    <row r="504" customFormat="false" ht="15" hidden="false" customHeight="false" outlineLevel="0" collapsed="false">
      <c r="A504" s="62" t="n">
        <v>46157</v>
      </c>
      <c r="B504" s="63" t="n">
        <v>0</v>
      </c>
      <c r="C504" s="63" t="n">
        <v>0</v>
      </c>
      <c r="D504" s="63" t="n">
        <v>0</v>
      </c>
      <c r="E504" s="63" t="n">
        <v>5</v>
      </c>
      <c r="F504" s="43" t="n">
        <f aca="false">SUM(B504:E504)</f>
        <v>5</v>
      </c>
      <c r="G504" s="60" t="n">
        <f aca="false">DATE(YEAR(A504),MONTH(A504),1)</f>
        <v>46143</v>
      </c>
      <c r="H504" s="63" t="n">
        <v>0</v>
      </c>
      <c r="I504" s="63" t="n">
        <v>24</v>
      </c>
      <c r="J504" s="43" t="n">
        <f aca="false">H504+I504</f>
        <v>24</v>
      </c>
    </row>
    <row r="505" customFormat="false" ht="15" hidden="false" customHeight="false" outlineLevel="0" collapsed="false">
      <c r="A505" s="62" t="n">
        <v>46158</v>
      </c>
      <c r="B505" s="63" t="n">
        <v>0</v>
      </c>
      <c r="C505" s="63" t="n">
        <v>0</v>
      </c>
      <c r="D505" s="63" t="n">
        <v>0</v>
      </c>
      <c r="E505" s="63" t="n">
        <v>1</v>
      </c>
      <c r="F505" s="43" t="n">
        <f aca="false">SUM(B505:E505)</f>
        <v>1</v>
      </c>
      <c r="G505" s="60" t="n">
        <f aca="false">DATE(YEAR(A505),MONTH(A505),1)</f>
        <v>46143</v>
      </c>
      <c r="H505" s="63" t="n">
        <v>0</v>
      </c>
      <c r="I505" s="63" t="n">
        <v>4</v>
      </c>
      <c r="J505" s="43" t="n">
        <f aca="false">H505+I505</f>
        <v>4</v>
      </c>
    </row>
    <row r="506" customFormat="false" ht="15" hidden="false" customHeight="false" outlineLevel="0" collapsed="false">
      <c r="A506" s="62" t="n">
        <v>46159</v>
      </c>
      <c r="B506" s="63" t="n">
        <v>0</v>
      </c>
      <c r="C506" s="63" t="n">
        <v>0</v>
      </c>
      <c r="D506" s="63" t="n">
        <v>0</v>
      </c>
      <c r="E506" s="63" t="n">
        <v>11402</v>
      </c>
      <c r="F506" s="43" t="n">
        <f aca="false">SUM(B506:E506)</f>
        <v>11402</v>
      </c>
      <c r="G506" s="60" t="n">
        <f aca="false">DATE(YEAR(A506),MONTH(A506),1)</f>
        <v>46143</v>
      </c>
      <c r="H506" s="63" t="n">
        <v>0</v>
      </c>
      <c r="I506" s="63" t="n">
        <v>1693</v>
      </c>
      <c r="J506" s="43" t="n">
        <f aca="false">H506+I506</f>
        <v>1693</v>
      </c>
    </row>
    <row r="507" customFormat="false" ht="15" hidden="false" customHeight="false" outlineLevel="0" collapsed="false">
      <c r="A507" s="62" t="n">
        <v>46160</v>
      </c>
      <c r="B507" s="63" t="n">
        <v>0</v>
      </c>
      <c r="C507" s="63" t="n">
        <v>0</v>
      </c>
      <c r="D507" s="63" t="n">
        <v>0</v>
      </c>
      <c r="E507" s="63" t="n">
        <v>11075</v>
      </c>
      <c r="F507" s="43" t="n">
        <f aca="false">SUM(B507:E507)</f>
        <v>11075</v>
      </c>
      <c r="G507" s="60" t="n">
        <f aca="false">DATE(YEAR(A507),MONTH(A507),1)</f>
        <v>46143</v>
      </c>
      <c r="H507" s="63" t="n">
        <v>0</v>
      </c>
      <c r="I507" s="63" t="n">
        <v>1021</v>
      </c>
      <c r="J507" s="43" t="n">
        <f aca="false">H507+I507</f>
        <v>1021</v>
      </c>
    </row>
    <row r="508" customFormat="false" ht="15" hidden="false" customHeight="false" outlineLevel="0" collapsed="false">
      <c r="A508" s="62" t="n">
        <v>46161</v>
      </c>
      <c r="B508" s="63" t="n">
        <v>0</v>
      </c>
      <c r="C508" s="63" t="n">
        <v>0</v>
      </c>
      <c r="D508" s="63" t="n">
        <v>0</v>
      </c>
      <c r="E508" s="63" t="n">
        <v>32</v>
      </c>
      <c r="F508" s="43" t="n">
        <f aca="false">SUM(B508:E508)</f>
        <v>32</v>
      </c>
      <c r="G508" s="60" t="n">
        <f aca="false">DATE(YEAR(A508),MONTH(A508),1)</f>
        <v>46143</v>
      </c>
      <c r="H508" s="63" t="n">
        <v>0</v>
      </c>
      <c r="I508" s="63" t="n">
        <v>47</v>
      </c>
      <c r="J508" s="43" t="n">
        <f aca="false">H508+I508</f>
        <v>47</v>
      </c>
    </row>
    <row r="509" customFormat="false" ht="15" hidden="false" customHeight="false" outlineLevel="0" collapsed="false">
      <c r="A509" s="62" t="n">
        <v>46162</v>
      </c>
      <c r="B509" s="63" t="n">
        <v>0</v>
      </c>
      <c r="C509" s="63" t="n">
        <v>0</v>
      </c>
      <c r="D509" s="63" t="n">
        <v>0</v>
      </c>
      <c r="E509" s="63" t="n">
        <v>8485</v>
      </c>
      <c r="F509" s="43" t="n">
        <f aca="false">SUM(B509:E509)</f>
        <v>8485</v>
      </c>
      <c r="G509" s="60" t="n">
        <f aca="false">DATE(YEAR(A509),MONTH(A509),1)</f>
        <v>46143</v>
      </c>
      <c r="H509" s="63" t="n">
        <v>0</v>
      </c>
      <c r="I509" s="63" t="n">
        <v>699</v>
      </c>
      <c r="J509" s="43" t="n">
        <f aca="false">H509+I509</f>
        <v>699</v>
      </c>
    </row>
    <row r="510" customFormat="false" ht="15" hidden="false" customHeight="false" outlineLevel="0" collapsed="false">
      <c r="A510" s="62" t="n">
        <v>46163</v>
      </c>
      <c r="B510" s="63" t="n">
        <v>0</v>
      </c>
      <c r="C510" s="63" t="n">
        <v>0</v>
      </c>
      <c r="D510" s="63" t="n">
        <v>0</v>
      </c>
      <c r="E510" s="63" t="n">
        <v>10423</v>
      </c>
      <c r="F510" s="43" t="n">
        <f aca="false">SUM(B510:E510)</f>
        <v>10423</v>
      </c>
      <c r="G510" s="60" t="n">
        <f aca="false">DATE(YEAR(A510),MONTH(A510),1)</f>
        <v>46143</v>
      </c>
      <c r="H510" s="63" t="n">
        <v>0</v>
      </c>
      <c r="I510" s="63" t="n">
        <v>511</v>
      </c>
      <c r="J510" s="43" t="n">
        <f aca="false">H510+I510</f>
        <v>511</v>
      </c>
    </row>
    <row r="511" customFormat="false" ht="15" hidden="false" customHeight="false" outlineLevel="0" collapsed="false">
      <c r="A511" s="62" t="n">
        <v>46164</v>
      </c>
      <c r="B511" s="63" t="n">
        <v>0</v>
      </c>
      <c r="C511" s="63" t="n">
        <v>0</v>
      </c>
      <c r="D511" s="63" t="n">
        <v>0</v>
      </c>
      <c r="E511" s="63" t="n">
        <v>4643</v>
      </c>
      <c r="F511" s="43" t="n">
        <f aca="false">SUM(B511:E511)</f>
        <v>4643</v>
      </c>
      <c r="G511" s="60" t="n">
        <f aca="false">DATE(YEAR(A511),MONTH(A511),1)</f>
        <v>46143</v>
      </c>
      <c r="H511" s="63" t="n">
        <v>0</v>
      </c>
      <c r="I511" s="63" t="n">
        <v>192</v>
      </c>
      <c r="J511" s="43" t="n">
        <f aca="false">H511+I511</f>
        <v>192</v>
      </c>
    </row>
    <row r="512" customFormat="false" ht="15" hidden="false" customHeight="false" outlineLevel="0" collapsed="false">
      <c r="A512" s="62" t="n">
        <v>46165</v>
      </c>
      <c r="B512" s="63" t="n">
        <v>0</v>
      </c>
      <c r="C512" s="63" t="n">
        <v>0</v>
      </c>
      <c r="D512" s="63" t="n">
        <v>0</v>
      </c>
      <c r="E512" s="63" t="n">
        <v>17</v>
      </c>
      <c r="F512" s="43" t="n">
        <f aca="false">SUM(B512:E512)</f>
        <v>17</v>
      </c>
      <c r="G512" s="60" t="n">
        <f aca="false">DATE(YEAR(A512),MONTH(A512),1)</f>
        <v>46143</v>
      </c>
      <c r="H512" s="63" t="n">
        <v>0</v>
      </c>
      <c r="I512" s="63" t="n">
        <v>8</v>
      </c>
      <c r="J512" s="43" t="n">
        <f aca="false">H512+I512</f>
        <v>8</v>
      </c>
    </row>
    <row r="513" customFormat="false" ht="15" hidden="false" customHeight="false" outlineLevel="0" collapsed="false">
      <c r="A513" s="62" t="n">
        <v>46166</v>
      </c>
      <c r="B513" s="63" t="n">
        <v>0</v>
      </c>
      <c r="C513" s="63" t="n">
        <v>0</v>
      </c>
      <c r="D513" s="63" t="n">
        <v>0</v>
      </c>
      <c r="E513" s="63" t="n">
        <v>6827</v>
      </c>
      <c r="F513" s="43" t="n">
        <f aca="false">SUM(B513:E513)</f>
        <v>6827</v>
      </c>
      <c r="G513" s="60" t="n">
        <f aca="false">DATE(YEAR(A513),MONTH(A513),1)</f>
        <v>46143</v>
      </c>
      <c r="H513" s="63" t="n">
        <v>0</v>
      </c>
      <c r="I513" s="63" t="n">
        <v>856</v>
      </c>
      <c r="J513" s="43" t="n">
        <f aca="false">H513+I513</f>
        <v>856</v>
      </c>
    </row>
    <row r="514" customFormat="false" ht="15" hidden="false" customHeight="false" outlineLevel="0" collapsed="false">
      <c r="A514" s="62" t="n">
        <v>46167</v>
      </c>
      <c r="B514" s="63" t="n">
        <v>0</v>
      </c>
      <c r="C514" s="63" t="n">
        <v>0</v>
      </c>
      <c r="D514" s="63" t="n">
        <v>0</v>
      </c>
      <c r="E514" s="63" t="n">
        <v>7902</v>
      </c>
      <c r="F514" s="43" t="n">
        <f aca="false">SUM(B514:E514)</f>
        <v>7902</v>
      </c>
      <c r="G514" s="60" t="n">
        <f aca="false">DATE(YEAR(A514),MONTH(A514),1)</f>
        <v>46143</v>
      </c>
      <c r="H514" s="63" t="n">
        <v>0</v>
      </c>
      <c r="I514" s="63" t="n">
        <v>802</v>
      </c>
      <c r="J514" s="43" t="n">
        <f aca="false">H514+I514</f>
        <v>802</v>
      </c>
    </row>
    <row r="515" customFormat="false" ht="15" hidden="false" customHeight="false" outlineLevel="0" collapsed="false">
      <c r="A515" s="62" t="n">
        <v>46168</v>
      </c>
      <c r="B515" s="63" t="n">
        <v>0</v>
      </c>
      <c r="C515" s="63" t="n">
        <v>0</v>
      </c>
      <c r="D515" s="63" t="n">
        <v>0</v>
      </c>
      <c r="E515" s="63" t="n">
        <v>9135</v>
      </c>
      <c r="F515" s="43" t="n">
        <f aca="false">SUM(B515:E515)</f>
        <v>9135</v>
      </c>
      <c r="G515" s="60" t="n">
        <f aca="false">DATE(YEAR(A515),MONTH(A515),1)</f>
        <v>46143</v>
      </c>
      <c r="H515" s="63" t="n">
        <v>0</v>
      </c>
      <c r="I515" s="63" t="n">
        <v>617</v>
      </c>
      <c r="J515" s="43" t="n">
        <f aca="false">H515+I515</f>
        <v>617</v>
      </c>
    </row>
    <row r="516" customFormat="false" ht="15" hidden="false" customHeight="false" outlineLevel="0" collapsed="false">
      <c r="A516" s="62" t="n">
        <v>46169</v>
      </c>
      <c r="B516" s="63" t="n">
        <v>0</v>
      </c>
      <c r="C516" s="63" t="n">
        <v>0</v>
      </c>
      <c r="D516" s="63" t="n">
        <v>0</v>
      </c>
      <c r="E516" s="63" t="n">
        <v>18462</v>
      </c>
      <c r="F516" s="43" t="n">
        <f aca="false">SUM(B516:E516)</f>
        <v>18462</v>
      </c>
      <c r="G516" s="60" t="n">
        <f aca="false">DATE(YEAR(A516),MONTH(A516),1)</f>
        <v>46143</v>
      </c>
      <c r="H516" s="63" t="n">
        <v>0</v>
      </c>
      <c r="I516" s="63" t="n">
        <v>951</v>
      </c>
      <c r="J516" s="43" t="n">
        <f aca="false">H516+I516</f>
        <v>951</v>
      </c>
    </row>
    <row r="517" customFormat="false" ht="15" hidden="false" customHeight="false" outlineLevel="0" collapsed="false">
      <c r="A517" s="62" t="n">
        <v>46170</v>
      </c>
      <c r="B517" s="63" t="n">
        <v>0</v>
      </c>
      <c r="C517" s="63" t="n">
        <v>0</v>
      </c>
      <c r="D517" s="63" t="n">
        <v>0</v>
      </c>
      <c r="E517" s="63" t="n">
        <v>4964</v>
      </c>
      <c r="F517" s="43" t="n">
        <f aca="false">SUM(B517:E517)</f>
        <v>4964</v>
      </c>
      <c r="G517" s="60" t="n">
        <f aca="false">DATE(YEAR(A517),MONTH(A517),1)</f>
        <v>46143</v>
      </c>
      <c r="H517" s="63" t="n">
        <v>0</v>
      </c>
      <c r="I517" s="63" t="n">
        <v>327</v>
      </c>
      <c r="J517" s="43" t="n">
        <f aca="false">H517+I517</f>
        <v>327</v>
      </c>
    </row>
    <row r="518" customFormat="false" ht="15" hidden="false" customHeight="false" outlineLevel="0" collapsed="false">
      <c r="A518" s="62" t="n">
        <v>46171</v>
      </c>
      <c r="B518" s="63" t="n">
        <v>0</v>
      </c>
      <c r="C518" s="63" t="n">
        <v>0</v>
      </c>
      <c r="D518" s="63" t="n">
        <v>0</v>
      </c>
      <c r="E518" s="63" t="n">
        <v>1707</v>
      </c>
      <c r="F518" s="43" t="n">
        <f aca="false">SUM(B518:E518)</f>
        <v>1707</v>
      </c>
      <c r="G518" s="60" t="n">
        <f aca="false">DATE(YEAR(A518),MONTH(A518),1)</f>
        <v>46143</v>
      </c>
      <c r="H518" s="63" t="n">
        <v>0</v>
      </c>
      <c r="I518" s="63" t="n">
        <v>227</v>
      </c>
      <c r="J518" s="43" t="n">
        <f aca="false">H518+I518</f>
        <v>227</v>
      </c>
    </row>
    <row r="519" customFormat="false" ht="15" hidden="false" customHeight="false" outlineLevel="0" collapsed="false">
      <c r="A519" s="62" t="n">
        <v>46172</v>
      </c>
      <c r="B519" s="63" t="n">
        <v>0</v>
      </c>
      <c r="C519" s="63" t="n">
        <v>0</v>
      </c>
      <c r="D519" s="63" t="n">
        <v>0</v>
      </c>
      <c r="E519" s="63" t="n">
        <v>19399</v>
      </c>
      <c r="F519" s="43" t="n">
        <f aca="false">SUM(B519:E519)</f>
        <v>19399</v>
      </c>
      <c r="G519" s="60" t="n">
        <f aca="false">DATE(YEAR(A519),MONTH(A519),1)</f>
        <v>46143</v>
      </c>
      <c r="H519" s="63" t="n">
        <v>0</v>
      </c>
      <c r="I519" s="63" t="n">
        <v>230</v>
      </c>
      <c r="J519" s="43" t="n">
        <f aca="false">H519+I519</f>
        <v>230</v>
      </c>
    </row>
    <row r="520" customFormat="false" ht="15" hidden="false" customHeight="false" outlineLevel="0" collapsed="false">
      <c r="A520" s="62" t="n">
        <v>46173</v>
      </c>
      <c r="B520" s="63" t="n">
        <v>0</v>
      </c>
      <c r="C520" s="63" t="n">
        <v>0</v>
      </c>
      <c r="D520" s="63" t="n">
        <v>0</v>
      </c>
      <c r="E520" s="63" t="n">
        <v>4232</v>
      </c>
      <c r="F520" s="43" t="n">
        <f aca="false">SUM(B520:E520)</f>
        <v>4232</v>
      </c>
      <c r="G520" s="60" t="n">
        <f aca="false">DATE(YEAR(A520),MONTH(A520),1)</f>
        <v>46143</v>
      </c>
      <c r="H520" s="63" t="n">
        <v>0</v>
      </c>
      <c r="I520" s="63" t="n">
        <v>258</v>
      </c>
      <c r="J520" s="43" t="n">
        <f aca="false">H520+I520</f>
        <v>258</v>
      </c>
    </row>
    <row r="521" customFormat="false" ht="15" hidden="false" customHeight="false" outlineLevel="0" collapsed="false">
      <c r="A521" s="62" t="n">
        <v>46174</v>
      </c>
      <c r="B521" s="63" t="n">
        <v>0</v>
      </c>
      <c r="C521" s="63" t="n">
        <v>0</v>
      </c>
      <c r="D521" s="63" t="n">
        <v>0</v>
      </c>
      <c r="E521" s="63" t="n">
        <v>109</v>
      </c>
      <c r="F521" s="43" t="n">
        <f aca="false">SUM(B521:E521)</f>
        <v>109</v>
      </c>
      <c r="G521" s="60" t="n">
        <f aca="false">DATE(YEAR(A521),MONTH(A521),1)</f>
        <v>46174</v>
      </c>
      <c r="H521" s="63" t="n">
        <v>0</v>
      </c>
      <c r="I521" s="63" t="n">
        <v>99</v>
      </c>
      <c r="J521" s="43" t="n">
        <f aca="false">H521+I521</f>
        <v>99</v>
      </c>
    </row>
    <row r="522" customFormat="false" ht="15" hidden="false" customHeight="false" outlineLevel="0" collapsed="false">
      <c r="A522" s="62" t="n">
        <v>46175</v>
      </c>
      <c r="B522" s="63" t="n">
        <v>0</v>
      </c>
      <c r="C522" s="63" t="n">
        <v>0</v>
      </c>
      <c r="D522" s="63" t="n">
        <v>0</v>
      </c>
      <c r="E522" s="63" t="n">
        <v>14539</v>
      </c>
      <c r="F522" s="43" t="n">
        <f aca="false">SUM(B522:E522)</f>
        <v>14539</v>
      </c>
      <c r="G522" s="60" t="n">
        <f aca="false">DATE(YEAR(A522),MONTH(A522),1)</f>
        <v>46174</v>
      </c>
      <c r="H522" s="63" t="n">
        <v>0</v>
      </c>
      <c r="I522" s="63" t="n">
        <v>446</v>
      </c>
      <c r="J522" s="43" t="n">
        <f aca="false">H522+I522</f>
        <v>446</v>
      </c>
    </row>
    <row r="523" customFormat="false" ht="15" hidden="false" customHeight="false" outlineLevel="0" collapsed="false">
      <c r="A523" s="62" t="n">
        <v>46176</v>
      </c>
      <c r="B523" s="63" t="n">
        <v>0</v>
      </c>
      <c r="C523" s="63" t="n">
        <v>0</v>
      </c>
      <c r="D523" s="63" t="n">
        <v>0</v>
      </c>
      <c r="E523" s="63" t="n">
        <v>1716</v>
      </c>
      <c r="F523" s="43" t="n">
        <f aca="false">SUM(B523:E523)</f>
        <v>1716</v>
      </c>
      <c r="G523" s="60" t="n">
        <f aca="false">DATE(YEAR(A523),MONTH(A523),1)</f>
        <v>46174</v>
      </c>
      <c r="H523" s="63" t="n">
        <v>0</v>
      </c>
      <c r="I523" s="63" t="n">
        <v>171</v>
      </c>
      <c r="J523" s="43" t="n">
        <f aca="false">H523+I523</f>
        <v>171</v>
      </c>
    </row>
    <row r="524" customFormat="false" ht="15" hidden="false" customHeight="false" outlineLevel="0" collapsed="false">
      <c r="A524" s="62" t="n">
        <v>46177</v>
      </c>
      <c r="B524" s="63" t="n">
        <v>0</v>
      </c>
      <c r="C524" s="63" t="n">
        <v>0</v>
      </c>
      <c r="D524" s="63" t="n">
        <v>0</v>
      </c>
      <c r="E524" s="63" t="n">
        <v>4376</v>
      </c>
      <c r="F524" s="43" t="n">
        <f aca="false">SUM(B524:E524)</f>
        <v>4376</v>
      </c>
      <c r="G524" s="60" t="n">
        <f aca="false">DATE(YEAR(A524),MONTH(A524),1)</f>
        <v>46174</v>
      </c>
      <c r="H524" s="63" t="n">
        <v>0</v>
      </c>
      <c r="I524" s="63" t="n">
        <v>85</v>
      </c>
      <c r="J524" s="43" t="n">
        <f aca="false">H524+I524</f>
        <v>85</v>
      </c>
    </row>
    <row r="525" customFormat="false" ht="15" hidden="false" customHeight="false" outlineLevel="0" collapsed="false">
      <c r="A525" s="62" t="n">
        <v>46178</v>
      </c>
      <c r="B525" s="63" t="n">
        <v>0</v>
      </c>
      <c r="C525" s="63" t="n">
        <v>0</v>
      </c>
      <c r="D525" s="63" t="n">
        <v>0</v>
      </c>
      <c r="E525" s="63" t="n">
        <v>21</v>
      </c>
      <c r="F525" s="43" t="n">
        <f aca="false">SUM(B525:E525)</f>
        <v>21</v>
      </c>
      <c r="G525" s="60" t="n">
        <f aca="false">DATE(YEAR(A525),MONTH(A525),1)</f>
        <v>46174</v>
      </c>
      <c r="H525" s="63" t="n">
        <v>0</v>
      </c>
      <c r="I525" s="63" t="n">
        <v>25</v>
      </c>
      <c r="J525" s="43" t="n">
        <f aca="false">H525+I525</f>
        <v>25</v>
      </c>
    </row>
    <row r="526" customFormat="false" ht="15" hidden="false" customHeight="false" outlineLevel="0" collapsed="false">
      <c r="A526" s="62" t="n">
        <v>46179</v>
      </c>
      <c r="B526" s="63" t="n">
        <v>0</v>
      </c>
      <c r="C526" s="63" t="n">
        <v>0</v>
      </c>
      <c r="D526" s="63" t="n">
        <v>0</v>
      </c>
      <c r="E526" s="63" t="n">
        <v>11</v>
      </c>
      <c r="F526" s="43" t="n">
        <f aca="false">SUM(B526:E526)</f>
        <v>11</v>
      </c>
      <c r="G526" s="60" t="n">
        <f aca="false">DATE(YEAR(A526),MONTH(A526),1)</f>
        <v>46174</v>
      </c>
      <c r="H526" s="63" t="n">
        <v>0</v>
      </c>
      <c r="I526" s="63" t="n">
        <v>21</v>
      </c>
      <c r="J526" s="43" t="n">
        <f aca="false">H526+I526</f>
        <v>21</v>
      </c>
    </row>
    <row r="527" customFormat="false" ht="15" hidden="false" customHeight="false" outlineLevel="0" collapsed="false">
      <c r="A527" s="62" t="n">
        <v>46180</v>
      </c>
      <c r="B527" s="63" t="n">
        <v>0</v>
      </c>
      <c r="C527" s="63" t="n">
        <v>0</v>
      </c>
      <c r="D527" s="63" t="n">
        <v>0</v>
      </c>
      <c r="E527" s="63" t="n">
        <v>15</v>
      </c>
      <c r="F527" s="43" t="n">
        <f aca="false">SUM(B527:E527)</f>
        <v>15</v>
      </c>
      <c r="G527" s="60" t="n">
        <f aca="false">DATE(YEAR(A527),MONTH(A527),1)</f>
        <v>46174</v>
      </c>
      <c r="H527" s="63" t="n">
        <v>0</v>
      </c>
      <c r="I527" s="63" t="n">
        <v>5</v>
      </c>
      <c r="J527" s="43" t="n">
        <f aca="false">H527+I527</f>
        <v>5</v>
      </c>
    </row>
    <row r="528" customFormat="false" ht="15" hidden="false" customHeight="false" outlineLevel="0" collapsed="false">
      <c r="A528" s="62" t="n">
        <v>46181</v>
      </c>
      <c r="B528" s="63" t="n">
        <v>0</v>
      </c>
      <c r="C528" s="63" t="n">
        <v>0</v>
      </c>
      <c r="D528" s="63" t="n">
        <v>0</v>
      </c>
      <c r="E528" s="63" t="n">
        <v>11</v>
      </c>
      <c r="F528" s="43" t="n">
        <f aca="false">SUM(B528:E528)</f>
        <v>11</v>
      </c>
      <c r="G528" s="60" t="n">
        <f aca="false">DATE(YEAR(A528),MONTH(A528),1)</f>
        <v>46174</v>
      </c>
      <c r="H528" s="63" t="n">
        <v>0</v>
      </c>
      <c r="I528" s="63" t="n">
        <v>18</v>
      </c>
      <c r="J528" s="43" t="n">
        <f aca="false">H528+I528</f>
        <v>18</v>
      </c>
    </row>
    <row r="529" customFormat="false" ht="15" hidden="false" customHeight="false" outlineLevel="0" collapsed="false">
      <c r="A529" s="62" t="n">
        <v>46182</v>
      </c>
      <c r="B529" s="63" t="n">
        <v>0</v>
      </c>
      <c r="C529" s="63" t="n">
        <v>0</v>
      </c>
      <c r="D529" s="63" t="n">
        <v>0</v>
      </c>
      <c r="E529" s="63" t="n">
        <v>19785</v>
      </c>
      <c r="F529" s="43" t="n">
        <f aca="false">SUM(B529:E529)</f>
        <v>19785</v>
      </c>
      <c r="G529" s="60" t="n">
        <f aca="false">DATE(YEAR(A529),MONTH(A529),1)</f>
        <v>46174</v>
      </c>
      <c r="H529" s="63" t="n">
        <v>0</v>
      </c>
      <c r="I529" s="63" t="n">
        <v>1168</v>
      </c>
      <c r="J529" s="43" t="n">
        <f aca="false">H529+I529</f>
        <v>1168</v>
      </c>
    </row>
    <row r="530" customFormat="false" ht="15" hidden="false" customHeight="false" outlineLevel="0" collapsed="false">
      <c r="A530" s="62" t="n">
        <v>46183</v>
      </c>
      <c r="B530" s="63" t="n">
        <v>0</v>
      </c>
      <c r="C530" s="63" t="n">
        <v>0</v>
      </c>
      <c r="D530" s="63" t="n">
        <v>0</v>
      </c>
      <c r="E530" s="63" t="n">
        <v>8233</v>
      </c>
      <c r="F530" s="43" t="n">
        <f aca="false">SUM(B530:E530)</f>
        <v>8233</v>
      </c>
      <c r="G530" s="60" t="n">
        <f aca="false">DATE(YEAR(A530),MONTH(A530),1)</f>
        <v>46174</v>
      </c>
      <c r="H530" s="63" t="n">
        <v>0</v>
      </c>
      <c r="I530" s="63" t="n">
        <v>653</v>
      </c>
      <c r="J530" s="43" t="n">
        <f aca="false">H530+I530</f>
        <v>653</v>
      </c>
    </row>
    <row r="531" customFormat="false" ht="15" hidden="false" customHeight="false" outlineLevel="0" collapsed="false">
      <c r="A531" s="62" t="n">
        <v>46184</v>
      </c>
      <c r="B531" s="63" t="n">
        <v>0</v>
      </c>
      <c r="C531" s="63" t="n">
        <v>0</v>
      </c>
      <c r="D531" s="63" t="n">
        <v>0</v>
      </c>
      <c r="E531" s="63" t="n">
        <v>4531</v>
      </c>
      <c r="F531" s="43" t="n">
        <f aca="false">SUM(B531:E531)</f>
        <v>4531</v>
      </c>
      <c r="G531" s="60" t="n">
        <f aca="false">DATE(YEAR(A531),MONTH(A531),1)</f>
        <v>46174</v>
      </c>
      <c r="H531" s="63" t="n">
        <v>0</v>
      </c>
      <c r="I531" s="63" t="n">
        <v>446</v>
      </c>
      <c r="J531" s="43" t="n">
        <f aca="false">H531+I531</f>
        <v>446</v>
      </c>
    </row>
    <row r="532" customFormat="false" ht="15" hidden="false" customHeight="false" outlineLevel="0" collapsed="false">
      <c r="A532" s="62" t="n">
        <v>46185</v>
      </c>
      <c r="B532" s="63" t="n">
        <v>0</v>
      </c>
      <c r="C532" s="63" t="n">
        <v>0</v>
      </c>
      <c r="D532" s="63" t="n">
        <v>2166</v>
      </c>
      <c r="E532" s="63" t="n">
        <v>1460</v>
      </c>
      <c r="F532" s="43" t="n">
        <f aca="false">SUM(B532:E532)</f>
        <v>3626</v>
      </c>
      <c r="G532" s="60" t="n">
        <f aca="false">DATE(YEAR(A532),MONTH(A532),1)</f>
        <v>46174</v>
      </c>
      <c r="H532" s="63" t="n">
        <v>0</v>
      </c>
      <c r="I532" s="63" t="n">
        <v>561</v>
      </c>
      <c r="J532" s="43" t="n">
        <f aca="false">H532+I532</f>
        <v>561</v>
      </c>
    </row>
    <row r="533" customFormat="false" ht="15" hidden="false" customHeight="false" outlineLevel="0" collapsed="false">
      <c r="A533" s="62" t="n">
        <v>46186</v>
      </c>
      <c r="B533" s="63" t="n">
        <v>0</v>
      </c>
      <c r="C533" s="63" t="n">
        <v>0</v>
      </c>
      <c r="D533" s="63" t="n">
        <v>11</v>
      </c>
      <c r="E533" s="63" t="n">
        <v>3686</v>
      </c>
      <c r="F533" s="43" t="n">
        <f aca="false">SUM(B533:E533)</f>
        <v>3697</v>
      </c>
      <c r="G533" s="60" t="n">
        <f aca="false">DATE(YEAR(A533),MONTH(A533),1)</f>
        <v>46174</v>
      </c>
      <c r="H533" s="63" t="n">
        <v>0</v>
      </c>
      <c r="I533" s="63" t="n">
        <v>927</v>
      </c>
      <c r="J533" s="43" t="n">
        <f aca="false">H533+I533</f>
        <v>927</v>
      </c>
    </row>
    <row r="534" customFormat="false" ht="15" hidden="false" customHeight="false" outlineLevel="0" collapsed="false">
      <c r="A534" s="62" t="n">
        <v>46187</v>
      </c>
      <c r="B534" s="63" t="n">
        <v>0</v>
      </c>
      <c r="C534" s="63" t="n">
        <v>0</v>
      </c>
      <c r="D534" s="63" t="n">
        <v>2</v>
      </c>
      <c r="E534" s="63" t="n">
        <v>4374</v>
      </c>
      <c r="F534" s="43" t="n">
        <f aca="false">SUM(B534:E534)</f>
        <v>4376</v>
      </c>
      <c r="G534" s="60" t="n">
        <f aca="false">DATE(YEAR(A534),MONTH(A534),1)</f>
        <v>46174</v>
      </c>
      <c r="H534" s="63" t="n">
        <v>0</v>
      </c>
      <c r="I534" s="63" t="n">
        <v>928</v>
      </c>
      <c r="J534" s="43" t="n">
        <f aca="false">H534+I534</f>
        <v>928</v>
      </c>
    </row>
    <row r="535" customFormat="false" ht="15" hidden="false" customHeight="false" outlineLevel="0" collapsed="false">
      <c r="A535" s="62" t="n">
        <v>46188</v>
      </c>
      <c r="B535" s="63" t="n">
        <v>0</v>
      </c>
      <c r="C535" s="63" t="n">
        <v>0</v>
      </c>
      <c r="D535" s="63" t="n">
        <v>4</v>
      </c>
      <c r="E535" s="63" t="n">
        <v>8785</v>
      </c>
      <c r="F535" s="43" t="n">
        <f aca="false">SUM(B535:E535)</f>
        <v>8789</v>
      </c>
      <c r="G535" s="60" t="n">
        <f aca="false">DATE(YEAR(A535),MONTH(A535),1)</f>
        <v>46174</v>
      </c>
      <c r="H535" s="63" t="n">
        <v>0</v>
      </c>
      <c r="I535" s="63" t="n">
        <v>799</v>
      </c>
      <c r="J535" s="43" t="n">
        <f aca="false">H535+I535</f>
        <v>799</v>
      </c>
    </row>
    <row r="536" customFormat="false" ht="15" hidden="false" customHeight="false" outlineLevel="0" collapsed="false">
      <c r="A536" s="62" t="n">
        <v>46189</v>
      </c>
      <c r="B536" s="63" t="n">
        <v>0</v>
      </c>
      <c r="C536" s="63" t="n">
        <v>0</v>
      </c>
      <c r="D536" s="63" t="n">
        <v>3</v>
      </c>
      <c r="E536" s="63" t="n">
        <v>8142</v>
      </c>
      <c r="F536" s="43" t="n">
        <f aca="false">SUM(B536:E536)</f>
        <v>8145</v>
      </c>
      <c r="G536" s="60" t="n">
        <f aca="false">DATE(YEAR(A536),MONTH(A536),1)</f>
        <v>46174</v>
      </c>
      <c r="H536" s="63" t="n">
        <v>0</v>
      </c>
      <c r="I536" s="63" t="n">
        <v>673</v>
      </c>
      <c r="J536" s="43" t="n">
        <f aca="false">H536+I536</f>
        <v>673</v>
      </c>
    </row>
    <row r="537" customFormat="false" ht="15" hidden="false" customHeight="false" outlineLevel="0" collapsed="false">
      <c r="A537" s="62" t="n">
        <v>46190</v>
      </c>
      <c r="B537" s="63" t="n">
        <v>0</v>
      </c>
      <c r="C537" s="63" t="n">
        <v>0</v>
      </c>
      <c r="D537" s="63" t="n">
        <v>2</v>
      </c>
      <c r="E537" s="63" t="n">
        <v>2411</v>
      </c>
      <c r="F537" s="43" t="n">
        <f aca="false">SUM(B537:E537)</f>
        <v>2413</v>
      </c>
      <c r="G537" s="60" t="n">
        <f aca="false">DATE(YEAR(A537),MONTH(A537),1)</f>
        <v>46174</v>
      </c>
      <c r="H537" s="63" t="n">
        <v>0</v>
      </c>
      <c r="I537" s="63" t="n">
        <v>337</v>
      </c>
      <c r="J537" s="43" t="n">
        <f aca="false">H537+I537</f>
        <v>337</v>
      </c>
    </row>
    <row r="538" customFormat="false" ht="15" hidden="false" customHeight="false" outlineLevel="0" collapsed="false">
      <c r="A538" s="62" t="n">
        <v>46191</v>
      </c>
      <c r="B538" s="63" t="n">
        <v>0</v>
      </c>
      <c r="C538" s="63" t="n">
        <v>0</v>
      </c>
      <c r="D538" s="63" t="n">
        <v>0</v>
      </c>
      <c r="E538" s="63" t="n">
        <v>1533</v>
      </c>
      <c r="F538" s="43" t="n">
        <f aca="false">SUM(B538:E538)</f>
        <v>1533</v>
      </c>
      <c r="G538" s="60" t="n">
        <f aca="false">DATE(YEAR(A538),MONTH(A538),1)</f>
        <v>46174</v>
      </c>
      <c r="H538" s="63" t="n">
        <v>0</v>
      </c>
      <c r="I538" s="63" t="n">
        <v>183</v>
      </c>
      <c r="J538" s="43" t="n">
        <f aca="false">H538+I538</f>
        <v>183</v>
      </c>
    </row>
    <row r="539" customFormat="false" ht="15" hidden="false" customHeight="false" outlineLevel="0" collapsed="false">
      <c r="A539" s="62" t="n">
        <v>46192</v>
      </c>
      <c r="B539" s="63" t="n">
        <v>0</v>
      </c>
      <c r="C539" s="63" t="n">
        <v>0</v>
      </c>
      <c r="D539" s="63" t="n">
        <v>1</v>
      </c>
      <c r="E539" s="63" t="n">
        <v>767</v>
      </c>
      <c r="F539" s="43" t="n">
        <f aca="false">SUM(B539:E539)</f>
        <v>768</v>
      </c>
      <c r="G539" s="60" t="n">
        <f aca="false">DATE(YEAR(A539),MONTH(A539),1)</f>
        <v>46174</v>
      </c>
      <c r="H539" s="63" t="n">
        <v>0</v>
      </c>
      <c r="I539" s="63" t="n">
        <v>127</v>
      </c>
      <c r="J539" s="43" t="n">
        <f aca="false">H539+I539</f>
        <v>127</v>
      </c>
    </row>
    <row r="540" customFormat="false" ht="15" hidden="false" customHeight="false" outlineLevel="0" collapsed="false">
      <c r="A540" s="62" t="n">
        <v>46193</v>
      </c>
      <c r="B540" s="63" t="n">
        <v>0</v>
      </c>
      <c r="C540" s="63" t="n">
        <v>0</v>
      </c>
      <c r="D540" s="63" t="n">
        <v>0</v>
      </c>
      <c r="E540" s="63" t="n">
        <v>10</v>
      </c>
      <c r="F540" s="43" t="n">
        <f aca="false">SUM(B540:E540)</f>
        <v>10</v>
      </c>
      <c r="G540" s="60" t="n">
        <f aca="false">DATE(YEAR(A540),MONTH(A540),1)</f>
        <v>46174</v>
      </c>
      <c r="H540" s="63" t="n">
        <v>0</v>
      </c>
      <c r="I540" s="63" t="n">
        <v>55</v>
      </c>
      <c r="J540" s="43" t="n">
        <f aca="false">H540+I540</f>
        <v>55</v>
      </c>
    </row>
    <row r="541" customFormat="false" ht="15" hidden="false" customHeight="false" outlineLevel="0" collapsed="false">
      <c r="A541" s="62" t="n">
        <v>46194</v>
      </c>
      <c r="B541" s="63" t="n">
        <v>0</v>
      </c>
      <c r="C541" s="63" t="n">
        <v>0</v>
      </c>
      <c r="D541" s="63" t="n">
        <v>1</v>
      </c>
      <c r="E541" s="63" t="n">
        <v>10641</v>
      </c>
      <c r="F541" s="43" t="n">
        <f aca="false">SUM(B541:E541)</f>
        <v>10642</v>
      </c>
      <c r="G541" s="60" t="n">
        <f aca="false">DATE(YEAR(A541),MONTH(A541),1)</f>
        <v>46174</v>
      </c>
      <c r="H541" s="63" t="n">
        <v>0</v>
      </c>
      <c r="I541" s="63" t="n">
        <v>920</v>
      </c>
      <c r="J541" s="43" t="n">
        <f aca="false">H541+I541</f>
        <v>920</v>
      </c>
    </row>
    <row r="542" customFormat="false" ht="15" hidden="false" customHeight="false" outlineLevel="0" collapsed="false">
      <c r="A542" s="62" t="n">
        <v>46195</v>
      </c>
      <c r="B542" s="63" t="n">
        <v>0</v>
      </c>
      <c r="C542" s="63" t="n">
        <v>0</v>
      </c>
      <c r="D542" s="63" t="n">
        <v>0</v>
      </c>
      <c r="E542" s="63" t="n">
        <v>17496</v>
      </c>
      <c r="F542" s="43" t="n">
        <f aca="false">SUM(B542:E542)</f>
        <v>17496</v>
      </c>
      <c r="G542" s="60" t="n">
        <f aca="false">DATE(YEAR(A542),MONTH(A542),1)</f>
        <v>46174</v>
      </c>
      <c r="H542" s="63" t="n">
        <v>0</v>
      </c>
      <c r="I542" s="63" t="n">
        <v>1090</v>
      </c>
      <c r="J542" s="43" t="n">
        <f aca="false">H542+I542</f>
        <v>1090</v>
      </c>
    </row>
    <row r="543" customFormat="false" ht="15" hidden="false" customHeight="false" outlineLevel="0" collapsed="false">
      <c r="A543" s="62" t="n">
        <v>46196</v>
      </c>
      <c r="B543" s="63" t="n">
        <v>0</v>
      </c>
      <c r="C543" s="63" t="n">
        <v>0</v>
      </c>
      <c r="D543" s="63" t="n">
        <v>1</v>
      </c>
      <c r="E543" s="63" t="n">
        <v>4938</v>
      </c>
      <c r="F543" s="43" t="n">
        <f aca="false">SUM(B543:E543)</f>
        <v>4939</v>
      </c>
      <c r="G543" s="60" t="n">
        <f aca="false">DATE(YEAR(A543),MONTH(A543),1)</f>
        <v>46174</v>
      </c>
      <c r="H543" s="63" t="n">
        <v>0</v>
      </c>
      <c r="I543" s="63" t="n">
        <v>170</v>
      </c>
      <c r="J543" s="43" t="n">
        <f aca="false">H543+I543</f>
        <v>170</v>
      </c>
    </row>
    <row r="544" customFormat="false" ht="15" hidden="false" customHeight="false" outlineLevel="0" collapsed="false">
      <c r="A544" s="62" t="n">
        <v>46197</v>
      </c>
      <c r="B544" s="63" t="n">
        <v>0</v>
      </c>
      <c r="C544" s="63" t="n">
        <v>0</v>
      </c>
      <c r="D544" s="63" t="n">
        <v>3</v>
      </c>
      <c r="E544" s="63" t="n">
        <v>22</v>
      </c>
      <c r="F544" s="43" t="n">
        <f aca="false">SUM(B544:E544)</f>
        <v>25</v>
      </c>
      <c r="G544" s="60" t="n">
        <f aca="false">DATE(YEAR(A544),MONTH(A544),1)</f>
        <v>46174</v>
      </c>
      <c r="H544" s="63" t="n">
        <v>0</v>
      </c>
      <c r="I544" s="63" t="n">
        <v>72</v>
      </c>
      <c r="J544" s="43" t="n">
        <f aca="false">H544+I544</f>
        <v>72</v>
      </c>
    </row>
    <row r="545" customFormat="false" ht="15" hidden="false" customHeight="false" outlineLevel="0" collapsed="false">
      <c r="A545" s="62" t="n">
        <v>46198</v>
      </c>
      <c r="B545" s="63" t="n">
        <v>0</v>
      </c>
      <c r="C545" s="63" t="n">
        <v>0</v>
      </c>
      <c r="D545" s="63" t="n">
        <v>1</v>
      </c>
      <c r="E545" s="63" t="n">
        <v>10328</v>
      </c>
      <c r="F545" s="43" t="n">
        <f aca="false">SUM(B545:E545)</f>
        <v>10329</v>
      </c>
      <c r="G545" s="60" t="n">
        <f aca="false">DATE(YEAR(A545),MONTH(A545),1)</f>
        <v>46174</v>
      </c>
      <c r="H545" s="63" t="n">
        <v>0</v>
      </c>
      <c r="I545" s="63" t="n">
        <v>289</v>
      </c>
      <c r="J545" s="43" t="n">
        <f aca="false">H545+I545</f>
        <v>289</v>
      </c>
    </row>
    <row r="546" customFormat="false" ht="15" hidden="false" customHeight="false" outlineLevel="0" collapsed="false">
      <c r="A546" s="62" t="n">
        <v>46199</v>
      </c>
      <c r="B546" s="63" t="n">
        <v>0</v>
      </c>
      <c r="C546" s="63" t="n">
        <v>0</v>
      </c>
      <c r="D546" s="63" t="n">
        <v>1</v>
      </c>
      <c r="E546" s="63" t="n">
        <v>114</v>
      </c>
      <c r="F546" s="43" t="n">
        <f aca="false">SUM(B546:E546)</f>
        <v>115</v>
      </c>
      <c r="G546" s="60" t="n">
        <f aca="false">DATE(YEAR(A546),MONTH(A546),1)</f>
        <v>46174</v>
      </c>
      <c r="H546" s="63" t="n">
        <v>0</v>
      </c>
      <c r="I546" s="63" t="n">
        <v>117</v>
      </c>
      <c r="J546" s="43" t="n">
        <f aca="false">H546+I546</f>
        <v>117</v>
      </c>
    </row>
    <row r="547" customFormat="false" ht="15" hidden="false" customHeight="false" outlineLevel="0" collapsed="false">
      <c r="A547" s="62" t="n">
        <v>46200</v>
      </c>
      <c r="B547" s="63" t="n">
        <v>0</v>
      </c>
      <c r="C547" s="63" t="n">
        <v>0</v>
      </c>
      <c r="D547" s="63" t="n">
        <v>1</v>
      </c>
      <c r="E547" s="63" t="n">
        <v>11</v>
      </c>
      <c r="F547" s="43" t="n">
        <f aca="false">SUM(B547:E547)</f>
        <v>12</v>
      </c>
      <c r="G547" s="60" t="n">
        <f aca="false">DATE(YEAR(A547),MONTH(A547),1)</f>
        <v>46174</v>
      </c>
      <c r="H547" s="63" t="n">
        <v>0</v>
      </c>
      <c r="I547" s="63" t="n">
        <v>28</v>
      </c>
      <c r="J547" s="43" t="n">
        <f aca="false">H547+I547</f>
        <v>28</v>
      </c>
    </row>
    <row r="548" customFormat="false" ht="15" hidden="false" customHeight="false" outlineLevel="0" collapsed="false">
      <c r="A548" s="62" t="n">
        <v>46201</v>
      </c>
      <c r="B548" s="63" t="n">
        <v>0</v>
      </c>
      <c r="C548" s="63" t="n">
        <v>0</v>
      </c>
      <c r="D548" s="63" t="n">
        <v>0</v>
      </c>
      <c r="E548" s="63" t="n">
        <v>3726</v>
      </c>
      <c r="F548" s="43" t="n">
        <f aca="false">SUM(B548:E548)</f>
        <v>3726</v>
      </c>
      <c r="G548" s="60" t="n">
        <f aca="false">DATE(YEAR(A548),MONTH(A548),1)</f>
        <v>46174</v>
      </c>
      <c r="H548" s="63" t="n">
        <v>0</v>
      </c>
      <c r="I548" s="63" t="n">
        <v>68</v>
      </c>
      <c r="J548" s="43" t="n">
        <f aca="false">H548+I548</f>
        <v>68</v>
      </c>
    </row>
    <row r="549" customFormat="false" ht="15" hidden="false" customHeight="false" outlineLevel="0" collapsed="false">
      <c r="A549" s="62" t="n">
        <v>46202</v>
      </c>
      <c r="B549" s="63" t="n">
        <v>0</v>
      </c>
      <c r="C549" s="63" t="n">
        <v>0</v>
      </c>
      <c r="D549" s="63" t="n">
        <v>0</v>
      </c>
      <c r="E549" s="63" t="n">
        <v>11141</v>
      </c>
      <c r="F549" s="43" t="n">
        <f aca="false">SUM(B549:E549)</f>
        <v>11141</v>
      </c>
      <c r="G549" s="60" t="n">
        <f aca="false">DATE(YEAR(A549),MONTH(A549),1)</f>
        <v>46174</v>
      </c>
      <c r="H549" s="63" t="n">
        <v>0</v>
      </c>
      <c r="I549" s="63" t="n">
        <v>341</v>
      </c>
      <c r="J549" s="43" t="n">
        <f aca="false">H549+I549</f>
        <v>341</v>
      </c>
    </row>
    <row r="550" customFormat="false" ht="15" hidden="false" customHeight="false" outlineLevel="0" collapsed="false">
      <c r="A550" s="62" t="n">
        <v>46203</v>
      </c>
      <c r="B550" s="63" t="n">
        <v>0</v>
      </c>
      <c r="C550" s="63" t="n">
        <v>0</v>
      </c>
      <c r="D550" s="63" t="n">
        <v>1</v>
      </c>
      <c r="E550" s="63" t="n">
        <v>16349</v>
      </c>
      <c r="F550" s="43" t="n">
        <f aca="false">SUM(B550:E550)</f>
        <v>16350</v>
      </c>
      <c r="G550" s="60" t="n">
        <f aca="false">DATE(YEAR(A550),MONTH(A550),1)</f>
        <v>46174</v>
      </c>
      <c r="H550" s="63" t="n">
        <v>0</v>
      </c>
      <c r="I550" s="63" t="n">
        <v>538</v>
      </c>
      <c r="J550" s="43" t="n">
        <f aca="false">H550+I550</f>
        <v>538</v>
      </c>
    </row>
    <row r="551" customFormat="false" ht="15" hidden="false" customHeight="false" outlineLevel="0" collapsed="false">
      <c r="A551" s="62" t="n">
        <v>46204</v>
      </c>
      <c r="B551" s="63" t="n">
        <v>0</v>
      </c>
      <c r="C551" s="63" t="n">
        <v>0</v>
      </c>
      <c r="D551" s="63" t="n">
        <v>1</v>
      </c>
      <c r="E551" s="63" t="n">
        <v>63</v>
      </c>
      <c r="F551" s="43" t="n">
        <f aca="false">SUM(B551:E551)</f>
        <v>64</v>
      </c>
      <c r="G551" s="60" t="n">
        <f aca="false">DATE(YEAR(A551),MONTH(A551),1)</f>
        <v>46204</v>
      </c>
      <c r="H551" s="63" t="n">
        <v>0</v>
      </c>
      <c r="I551" s="63" t="n">
        <v>75</v>
      </c>
      <c r="J551" s="43" t="n">
        <f aca="false">H551+I551</f>
        <v>75</v>
      </c>
    </row>
    <row r="552" customFormat="false" ht="15" hidden="false" customHeight="false" outlineLevel="0" collapsed="false">
      <c r="A552" s="62" t="n">
        <v>46205</v>
      </c>
      <c r="B552" s="63" t="n">
        <v>0</v>
      </c>
      <c r="C552" s="63" t="n">
        <v>0</v>
      </c>
      <c r="D552" s="63" t="n">
        <v>0</v>
      </c>
      <c r="E552" s="63" t="n">
        <v>13</v>
      </c>
      <c r="F552" s="43" t="n">
        <f aca="false">SUM(B552:E552)</f>
        <v>13</v>
      </c>
      <c r="G552" s="60" t="n">
        <f aca="false">DATE(YEAR(A552),MONTH(A552),1)</f>
        <v>46204</v>
      </c>
      <c r="H552" s="63" t="n">
        <v>0</v>
      </c>
      <c r="I552" s="63" t="n">
        <v>19</v>
      </c>
      <c r="J552" s="43" t="n">
        <f aca="false">H552+I552</f>
        <v>19</v>
      </c>
    </row>
    <row r="553" customFormat="false" ht="15" hidden="false" customHeight="false" outlineLevel="0" collapsed="false">
      <c r="A553" s="62" t="n">
        <v>46206</v>
      </c>
      <c r="B553" s="63" t="n">
        <v>0</v>
      </c>
      <c r="C553" s="63" t="n">
        <v>0</v>
      </c>
      <c r="D553" s="63" t="n">
        <v>0</v>
      </c>
      <c r="E553" s="63" t="n">
        <v>15</v>
      </c>
      <c r="F553" s="43" t="n">
        <f aca="false">SUM(B553:E553)</f>
        <v>15</v>
      </c>
      <c r="G553" s="60" t="n">
        <f aca="false">DATE(YEAR(A553),MONTH(A553),1)</f>
        <v>46204</v>
      </c>
      <c r="H553" s="63" t="n">
        <v>0</v>
      </c>
      <c r="I553" s="63" t="n">
        <v>17</v>
      </c>
      <c r="J553" s="43" t="n">
        <f aca="false">H553+I553</f>
        <v>17</v>
      </c>
    </row>
    <row r="554" customFormat="false" ht="15" hidden="false" customHeight="false" outlineLevel="0" collapsed="false">
      <c r="A554" s="62" t="n">
        <v>46207</v>
      </c>
      <c r="B554" s="63" t="n">
        <v>0</v>
      </c>
      <c r="C554" s="63" t="n">
        <v>0</v>
      </c>
      <c r="D554" s="63" t="n">
        <v>0</v>
      </c>
      <c r="E554" s="63" t="n">
        <v>2</v>
      </c>
      <c r="F554" s="43" t="n">
        <f aca="false">SUM(B554:E554)</f>
        <v>2</v>
      </c>
      <c r="G554" s="60" t="n">
        <f aca="false">DATE(YEAR(A554),MONTH(A554),1)</f>
        <v>46204</v>
      </c>
      <c r="H554" s="63" t="n">
        <v>0</v>
      </c>
      <c r="I554" s="63" t="n">
        <v>22</v>
      </c>
      <c r="J554" s="43" t="n">
        <f aca="false">H554+I554</f>
        <v>22</v>
      </c>
    </row>
    <row r="555" customFormat="false" ht="15" hidden="false" customHeight="false" outlineLevel="0" collapsed="false">
      <c r="A555" s="62" t="n">
        <v>46208</v>
      </c>
      <c r="B555" s="63" t="n">
        <v>0</v>
      </c>
      <c r="C555" s="63" t="n">
        <v>0</v>
      </c>
      <c r="D555" s="63" t="n">
        <v>0</v>
      </c>
      <c r="E555" s="63" t="n">
        <v>5</v>
      </c>
      <c r="F555" s="43" t="n">
        <f aca="false">SUM(B555:E555)</f>
        <v>5</v>
      </c>
      <c r="G555" s="60" t="n">
        <f aca="false">DATE(YEAR(A555),MONTH(A555),1)</f>
        <v>46204</v>
      </c>
      <c r="H555" s="63" t="n">
        <v>0</v>
      </c>
      <c r="I555" s="63" t="n">
        <v>13</v>
      </c>
      <c r="J555" s="43" t="n">
        <f aca="false">H555+I555</f>
        <v>13</v>
      </c>
    </row>
    <row r="556" customFormat="false" ht="15" hidden="false" customHeight="false" outlineLevel="0" collapsed="false">
      <c r="A556" s="62" t="n">
        <v>46209</v>
      </c>
      <c r="B556" s="63" t="n">
        <v>0</v>
      </c>
      <c r="C556" s="63" t="n">
        <v>0</v>
      </c>
      <c r="D556" s="63" t="n">
        <v>0</v>
      </c>
      <c r="E556" s="63" t="n">
        <v>6552</v>
      </c>
      <c r="F556" s="43" t="n">
        <f aca="false">SUM(B556:E556)</f>
        <v>6552</v>
      </c>
      <c r="G556" s="60" t="n">
        <f aca="false">DATE(YEAR(A556),MONTH(A556),1)</f>
        <v>46204</v>
      </c>
      <c r="H556" s="63" t="n">
        <v>0</v>
      </c>
      <c r="I556" s="63" t="n">
        <v>440</v>
      </c>
      <c r="J556" s="43" t="n">
        <f aca="false">H556+I556</f>
        <v>440</v>
      </c>
    </row>
    <row r="557" customFormat="false" ht="15" hidden="false" customHeight="false" outlineLevel="0" collapsed="false">
      <c r="A557" s="62" t="n">
        <v>46210</v>
      </c>
      <c r="B557" s="63" t="n">
        <v>0</v>
      </c>
      <c r="C557" s="63" t="n">
        <v>0</v>
      </c>
      <c r="D557" s="63" t="n">
        <v>0</v>
      </c>
      <c r="E557" s="63" t="n">
        <v>8380</v>
      </c>
      <c r="F557" s="43" t="n">
        <f aca="false">SUM(B557:E557)</f>
        <v>8380</v>
      </c>
      <c r="G557" s="60" t="n">
        <f aca="false">DATE(YEAR(A557),MONTH(A557),1)</f>
        <v>46204</v>
      </c>
      <c r="H557" s="63" t="n">
        <v>0</v>
      </c>
      <c r="I557" s="63" t="n">
        <v>250</v>
      </c>
      <c r="J557" s="43" t="n">
        <f aca="false">H557+I557</f>
        <v>250</v>
      </c>
    </row>
    <row r="558" customFormat="false" ht="15" hidden="false" customHeight="false" outlineLevel="0" collapsed="false">
      <c r="A558" s="62" t="n">
        <v>46211</v>
      </c>
      <c r="B558" s="63" t="n">
        <v>0</v>
      </c>
      <c r="C558" s="63" t="n">
        <v>0</v>
      </c>
      <c r="D558" s="63" t="n">
        <v>1</v>
      </c>
      <c r="E558" s="63" t="n">
        <v>3719</v>
      </c>
      <c r="F558" s="43" t="n">
        <f aca="false">SUM(B558:E558)</f>
        <v>3720</v>
      </c>
      <c r="G558" s="60" t="n">
        <f aca="false">DATE(YEAR(A558),MONTH(A558),1)</f>
        <v>46204</v>
      </c>
      <c r="H558" s="63" t="n">
        <v>0</v>
      </c>
      <c r="I558" s="63" t="n">
        <v>332</v>
      </c>
      <c r="J558" s="43" t="n">
        <f aca="false">H558+I558</f>
        <v>332</v>
      </c>
    </row>
    <row r="559" customFormat="false" ht="15" hidden="false" customHeight="false" outlineLevel="0" collapsed="false">
      <c r="A559" s="62" t="n">
        <v>46212</v>
      </c>
      <c r="B559" s="63" t="n">
        <v>0</v>
      </c>
      <c r="C559" s="63" t="n">
        <v>0</v>
      </c>
      <c r="D559" s="63" t="n">
        <v>0</v>
      </c>
      <c r="E559" s="63" t="n">
        <v>22</v>
      </c>
      <c r="F559" s="43" t="n">
        <f aca="false">SUM(B559:E559)</f>
        <v>22</v>
      </c>
      <c r="G559" s="60" t="n">
        <f aca="false">DATE(YEAR(A559),MONTH(A559),1)</f>
        <v>46204</v>
      </c>
      <c r="H559" s="63" t="n">
        <v>0</v>
      </c>
      <c r="I559" s="63" t="n">
        <v>20</v>
      </c>
      <c r="J559" s="43" t="n">
        <f aca="false">H559+I559</f>
        <v>20</v>
      </c>
    </row>
    <row r="560" customFormat="false" ht="15" hidden="false" customHeight="false" outlineLevel="0" collapsed="false">
      <c r="A560" s="62" t="n">
        <v>46213</v>
      </c>
      <c r="B560" s="63" t="n">
        <v>0</v>
      </c>
      <c r="C560" s="63" t="n">
        <v>0</v>
      </c>
      <c r="D560" s="63" t="n">
        <v>0</v>
      </c>
      <c r="E560" s="63" t="n">
        <v>11</v>
      </c>
      <c r="F560" s="43" t="n">
        <f aca="false">SUM(B560:E560)</f>
        <v>11</v>
      </c>
      <c r="G560" s="60" t="n">
        <f aca="false">DATE(YEAR(A560),MONTH(A560),1)</f>
        <v>46204</v>
      </c>
      <c r="H560" s="63" t="n">
        <v>0</v>
      </c>
      <c r="I560" s="63" t="n">
        <v>20</v>
      </c>
      <c r="J560" s="43" t="n">
        <f aca="false">H560+I560</f>
        <v>20</v>
      </c>
    </row>
    <row r="561" customFormat="false" ht="15" hidden="false" customHeight="false" outlineLevel="0" collapsed="false">
      <c r="A561" s="62" t="n">
        <v>46214</v>
      </c>
      <c r="B561" s="63" t="n">
        <v>0</v>
      </c>
      <c r="C561" s="63" t="n">
        <v>0</v>
      </c>
      <c r="D561" s="63" t="n">
        <v>0</v>
      </c>
      <c r="E561" s="63" t="n">
        <v>13</v>
      </c>
      <c r="F561" s="43" t="n">
        <f aca="false">SUM(B561:E561)</f>
        <v>13</v>
      </c>
      <c r="G561" s="60" t="n">
        <f aca="false">DATE(YEAR(A561),MONTH(A561),1)</f>
        <v>46204</v>
      </c>
      <c r="H561" s="63" t="n">
        <v>0</v>
      </c>
      <c r="I561" s="63" t="n">
        <v>30</v>
      </c>
      <c r="J561" s="43" t="n">
        <f aca="false">H561+I561</f>
        <v>30</v>
      </c>
    </row>
    <row r="562" customFormat="false" ht="15" hidden="false" customHeight="false" outlineLevel="0" collapsed="false">
      <c r="A562" s="62" t="n">
        <v>46215</v>
      </c>
      <c r="B562" s="63" t="n">
        <v>0</v>
      </c>
      <c r="C562" s="63" t="n">
        <v>0</v>
      </c>
      <c r="D562" s="63" t="n">
        <v>0</v>
      </c>
      <c r="E562" s="63" t="n">
        <v>9</v>
      </c>
      <c r="F562" s="43" t="n">
        <f aca="false">SUM(B562:E562)</f>
        <v>9</v>
      </c>
      <c r="G562" s="60" t="n">
        <f aca="false">DATE(YEAR(A562),MONTH(A562),1)</f>
        <v>46204</v>
      </c>
      <c r="H562" s="63" t="n">
        <v>0</v>
      </c>
      <c r="I562" s="63" t="n">
        <v>55</v>
      </c>
      <c r="J562" s="43" t="n">
        <f aca="false">H562+I562</f>
        <v>55</v>
      </c>
    </row>
    <row r="563" customFormat="false" ht="15" hidden="false" customHeight="false" outlineLevel="0" collapsed="false">
      <c r="A563" s="62" t="n">
        <v>46216</v>
      </c>
      <c r="B563" s="63" t="n">
        <v>0</v>
      </c>
      <c r="C563" s="63" t="n">
        <v>0</v>
      </c>
      <c r="D563" s="63" t="n">
        <v>0</v>
      </c>
      <c r="E563" s="63" t="n">
        <v>23635</v>
      </c>
      <c r="F563" s="43" t="n">
        <f aca="false">SUM(B563:E563)</f>
        <v>23635</v>
      </c>
      <c r="G563" s="60" t="n">
        <f aca="false">DATE(YEAR(A563),MONTH(A563),1)</f>
        <v>46204</v>
      </c>
      <c r="H563" s="63" t="n">
        <v>0</v>
      </c>
      <c r="I563" s="63" t="n">
        <v>209</v>
      </c>
      <c r="J563" s="43" t="n">
        <f aca="false">H563+I563</f>
        <v>209</v>
      </c>
    </row>
    <row r="564" customFormat="false" ht="15" hidden="false" customHeight="false" outlineLevel="0" collapsed="false">
      <c r="A564" s="62" t="n">
        <v>46217</v>
      </c>
      <c r="B564" s="63" t="n">
        <v>0</v>
      </c>
      <c r="C564" s="63" t="n">
        <v>0</v>
      </c>
      <c r="D564" s="63" t="n">
        <v>0</v>
      </c>
      <c r="E564" s="63" t="n">
        <v>8223</v>
      </c>
      <c r="F564" s="43" t="n">
        <f aca="false">SUM(B564:E564)</f>
        <v>8223</v>
      </c>
      <c r="G564" s="60" t="n">
        <f aca="false">DATE(YEAR(A564),MONTH(A564),1)</f>
        <v>46204</v>
      </c>
      <c r="H564" s="63" t="n">
        <v>0</v>
      </c>
      <c r="I564" s="63" t="n">
        <v>330</v>
      </c>
      <c r="J564" s="43" t="n">
        <f aca="false">H564+I564</f>
        <v>330</v>
      </c>
    </row>
    <row r="565" customFormat="false" ht="15" hidden="false" customHeight="false" outlineLevel="0" collapsed="false">
      <c r="A565" s="62" t="n">
        <v>46218</v>
      </c>
      <c r="B565" s="63" t="n">
        <v>0</v>
      </c>
      <c r="C565" s="63" t="n">
        <v>0</v>
      </c>
      <c r="D565" s="63" t="n">
        <v>0</v>
      </c>
      <c r="E565" s="63" t="n">
        <v>4931</v>
      </c>
      <c r="F565" s="43" t="n">
        <f aca="false">SUM(B565:E565)</f>
        <v>4931</v>
      </c>
      <c r="G565" s="60" t="n">
        <f aca="false">DATE(YEAR(A565),MONTH(A565),1)</f>
        <v>46204</v>
      </c>
      <c r="H565" s="63" t="n">
        <v>0</v>
      </c>
      <c r="I565" s="63" t="n">
        <v>64</v>
      </c>
      <c r="J565" s="43" t="n">
        <f aca="false">H565+I565</f>
        <v>64</v>
      </c>
    </row>
    <row r="566" customFormat="false" ht="15" hidden="false" customHeight="false" outlineLevel="0" collapsed="false">
      <c r="A566" s="62" t="n">
        <v>46219</v>
      </c>
      <c r="B566" s="63" t="n">
        <v>0</v>
      </c>
      <c r="C566" s="63" t="n">
        <v>0</v>
      </c>
      <c r="D566" s="63" t="n">
        <v>0</v>
      </c>
      <c r="E566" s="63" t="n">
        <v>3619</v>
      </c>
      <c r="F566" s="43" t="n">
        <f aca="false">SUM(B566:E566)</f>
        <v>3619</v>
      </c>
      <c r="G566" s="60" t="n">
        <f aca="false">DATE(YEAR(A566),MONTH(A566),1)</f>
        <v>46204</v>
      </c>
      <c r="H566" s="63" t="n">
        <v>0</v>
      </c>
      <c r="I566" s="63" t="n">
        <v>137</v>
      </c>
      <c r="J566" s="43" t="n">
        <f aca="false">H566+I566</f>
        <v>137</v>
      </c>
    </row>
    <row r="567" customFormat="false" ht="15" hidden="false" customHeight="false" outlineLevel="0" collapsed="false">
      <c r="A567" s="62" t="n">
        <v>46220</v>
      </c>
      <c r="B567" s="63" t="n">
        <v>0</v>
      </c>
      <c r="C567" s="63" t="n">
        <v>0</v>
      </c>
      <c r="D567" s="63" t="n">
        <v>0</v>
      </c>
      <c r="E567" s="63" t="n">
        <v>23</v>
      </c>
      <c r="F567" s="43" t="n">
        <f aca="false">SUM(B567:E567)</f>
        <v>23</v>
      </c>
      <c r="G567" s="60" t="n">
        <f aca="false">DATE(YEAR(A567),MONTH(A567),1)</f>
        <v>46204</v>
      </c>
      <c r="H567" s="63" t="n">
        <v>0</v>
      </c>
      <c r="I567" s="63" t="n">
        <v>48</v>
      </c>
      <c r="J567" s="43" t="n">
        <f aca="false">H567+I567</f>
        <v>48</v>
      </c>
    </row>
    <row r="568" customFormat="false" ht="15" hidden="false" customHeight="false" outlineLevel="0" collapsed="false">
      <c r="A568" s="62" t="n">
        <v>46221</v>
      </c>
      <c r="B568" s="63" t="n">
        <v>0</v>
      </c>
      <c r="C568" s="63" t="n">
        <v>0</v>
      </c>
      <c r="D568" s="63" t="n">
        <v>0</v>
      </c>
      <c r="E568" s="63" t="n">
        <v>15</v>
      </c>
      <c r="F568" s="43" t="n">
        <f aca="false">SUM(B568:E568)</f>
        <v>15</v>
      </c>
      <c r="G568" s="60" t="n">
        <f aca="false">DATE(YEAR(A568),MONTH(A568),1)</f>
        <v>46204</v>
      </c>
      <c r="H568" s="63" t="n">
        <v>0</v>
      </c>
      <c r="I568" s="63" t="n">
        <v>26</v>
      </c>
      <c r="J568" s="43" t="n">
        <f aca="false">H568+I568</f>
        <v>26</v>
      </c>
    </row>
    <row r="569" customFormat="false" ht="15" hidden="false" customHeight="false" outlineLevel="0" collapsed="false">
      <c r="A569" s="62" t="n">
        <v>46222</v>
      </c>
      <c r="B569" s="63" t="n">
        <v>0</v>
      </c>
      <c r="C569" s="63" t="n">
        <v>0</v>
      </c>
      <c r="D569" s="63" t="n">
        <v>0</v>
      </c>
      <c r="E569" s="63" t="n">
        <v>10</v>
      </c>
      <c r="F569" s="43" t="n">
        <f aca="false">SUM(B569:E569)</f>
        <v>10</v>
      </c>
      <c r="G569" s="60" t="n">
        <f aca="false">DATE(YEAR(A569),MONTH(A569),1)</f>
        <v>46204</v>
      </c>
      <c r="H569" s="63" t="n">
        <v>0</v>
      </c>
      <c r="I569" s="63" t="n">
        <v>2</v>
      </c>
      <c r="J569" s="43" t="n">
        <f aca="false">H569+I569</f>
        <v>2</v>
      </c>
    </row>
    <row r="570" customFormat="false" ht="15" hidden="false" customHeight="false" outlineLevel="0" collapsed="false">
      <c r="A570" s="62" t="n">
        <v>46223</v>
      </c>
      <c r="B570" s="63" t="n">
        <v>0</v>
      </c>
      <c r="C570" s="63" t="n">
        <v>0</v>
      </c>
      <c r="D570" s="63" t="n">
        <v>0</v>
      </c>
      <c r="E570" s="63" t="n">
        <v>30896</v>
      </c>
      <c r="F570" s="43" t="n">
        <f aca="false">SUM(B570:E570)</f>
        <v>30896</v>
      </c>
      <c r="G570" s="60" t="n">
        <f aca="false">DATE(YEAR(A570),MONTH(A570),1)</f>
        <v>46204</v>
      </c>
      <c r="H570" s="63" t="n">
        <v>0</v>
      </c>
      <c r="I570" s="63" t="n">
        <v>59</v>
      </c>
      <c r="J570" s="43" t="n">
        <f aca="false">H570+I570</f>
        <v>59</v>
      </c>
    </row>
    <row r="571" customFormat="false" ht="15" hidden="false" customHeight="false" outlineLevel="0" collapsed="false">
      <c r="A571" s="62" t="n">
        <v>46224</v>
      </c>
      <c r="B571" s="63" t="n">
        <v>0</v>
      </c>
      <c r="C571" s="63" t="n">
        <v>0</v>
      </c>
      <c r="D571" s="63" t="n">
        <v>0</v>
      </c>
      <c r="E571" s="63" t="n">
        <v>3557</v>
      </c>
      <c r="F571" s="43" t="n">
        <f aca="false">SUM(B571:E571)</f>
        <v>3557</v>
      </c>
      <c r="G571" s="60" t="n">
        <f aca="false">DATE(YEAR(A571),MONTH(A571),1)</f>
        <v>46204</v>
      </c>
      <c r="H571" s="63" t="n">
        <v>0</v>
      </c>
      <c r="I571" s="63" t="n">
        <v>96</v>
      </c>
      <c r="J571" s="43" t="n">
        <f aca="false">H571+I571</f>
        <v>96</v>
      </c>
    </row>
    <row r="572" customFormat="false" ht="15" hidden="false" customHeight="false" outlineLevel="0" collapsed="false">
      <c r="A572" s="62" t="n">
        <v>46225</v>
      </c>
      <c r="B572" s="63" t="n">
        <v>0</v>
      </c>
      <c r="C572" s="63" t="n">
        <v>0</v>
      </c>
      <c r="D572" s="63" t="n">
        <v>0</v>
      </c>
      <c r="E572" s="63" t="n">
        <v>29</v>
      </c>
      <c r="F572" s="43" t="n">
        <f aca="false">SUM(B572:E572)</f>
        <v>29</v>
      </c>
      <c r="G572" s="60" t="n">
        <f aca="false">DATE(YEAR(A572),MONTH(A572),1)</f>
        <v>46204</v>
      </c>
      <c r="H572" s="63" t="n">
        <v>0</v>
      </c>
      <c r="I572" s="63" t="n">
        <v>62</v>
      </c>
      <c r="J572" s="43" t="n">
        <f aca="false">H572+I572</f>
        <v>62</v>
      </c>
    </row>
    <row r="573" customFormat="false" ht="15" hidden="false" customHeight="false" outlineLevel="0" collapsed="false">
      <c r="A573" s="62" t="n">
        <v>46226</v>
      </c>
      <c r="B573" s="63" t="n">
        <v>0</v>
      </c>
      <c r="C573" s="63" t="n">
        <v>0</v>
      </c>
      <c r="D573" s="63" t="n">
        <v>0</v>
      </c>
      <c r="E573" s="63" t="n">
        <v>21</v>
      </c>
      <c r="F573" s="43" t="n">
        <f aca="false">SUM(B573:E573)</f>
        <v>21</v>
      </c>
      <c r="G573" s="60" t="n">
        <f aca="false">DATE(YEAR(A573),MONTH(A573),1)</f>
        <v>46204</v>
      </c>
      <c r="H573" s="63" t="n">
        <v>0</v>
      </c>
      <c r="I573" s="63" t="n">
        <v>19</v>
      </c>
      <c r="J573" s="43" t="n">
        <f aca="false">H573+I573</f>
        <v>19</v>
      </c>
    </row>
    <row r="574" customFormat="false" ht="15" hidden="false" customHeight="false" outlineLevel="0" collapsed="false">
      <c r="A574" s="62" t="n">
        <v>46227</v>
      </c>
      <c r="B574" s="63" t="n">
        <v>0</v>
      </c>
      <c r="C574" s="63" t="n">
        <v>0</v>
      </c>
      <c r="D574" s="63" t="n">
        <v>0</v>
      </c>
      <c r="E574" s="63" t="n">
        <v>11</v>
      </c>
      <c r="F574" s="43" t="n">
        <f aca="false">SUM(B574:E574)</f>
        <v>11</v>
      </c>
      <c r="G574" s="60" t="n">
        <f aca="false">DATE(YEAR(A574),MONTH(A574),1)</f>
        <v>46204</v>
      </c>
      <c r="H574" s="63" t="n">
        <v>0</v>
      </c>
      <c r="I574" s="63" t="n">
        <v>8</v>
      </c>
      <c r="J574" s="43" t="n">
        <f aca="false">H574+I574</f>
        <v>8</v>
      </c>
    </row>
    <row r="575" customFormat="false" ht="15" hidden="false" customHeight="false" outlineLevel="0" collapsed="false">
      <c r="A575" s="62" t="n">
        <v>46228</v>
      </c>
      <c r="B575" s="63" t="n">
        <v>0</v>
      </c>
      <c r="C575" s="63" t="n">
        <v>0</v>
      </c>
      <c r="D575" s="63" t="n">
        <v>0</v>
      </c>
      <c r="E575" s="63" t="n">
        <v>11</v>
      </c>
      <c r="F575" s="43" t="n">
        <f aca="false">SUM(B575:E575)</f>
        <v>11</v>
      </c>
      <c r="G575" s="60" t="n">
        <f aca="false">DATE(YEAR(A575),MONTH(A575),1)</f>
        <v>46204</v>
      </c>
      <c r="H575" s="63" t="n">
        <v>0</v>
      </c>
      <c r="I575" s="63" t="n">
        <v>25</v>
      </c>
      <c r="J575" s="43" t="n">
        <f aca="false">H575+I575</f>
        <v>25</v>
      </c>
    </row>
    <row r="576" customFormat="false" ht="15" hidden="false" customHeight="false" outlineLevel="0" collapsed="false">
      <c r="A576" s="62" t="n">
        <v>46229</v>
      </c>
      <c r="B576" s="63" t="n">
        <v>0</v>
      </c>
      <c r="C576" s="63" t="n">
        <v>0</v>
      </c>
      <c r="D576" s="63" t="n">
        <v>0</v>
      </c>
      <c r="E576" s="63" t="n">
        <v>6</v>
      </c>
      <c r="F576" s="43" t="n">
        <f aca="false">SUM(B576:E576)</f>
        <v>6</v>
      </c>
      <c r="G576" s="60" t="n">
        <f aca="false">DATE(YEAR(A576),MONTH(A576),1)</f>
        <v>46204</v>
      </c>
      <c r="H576" s="63" t="n">
        <v>0</v>
      </c>
      <c r="I576" s="63" t="n">
        <v>19</v>
      </c>
      <c r="J576" s="43" t="n">
        <f aca="false">H576+I576</f>
        <v>19</v>
      </c>
    </row>
    <row r="577" customFormat="false" ht="15" hidden="false" customHeight="false" outlineLevel="0" collapsed="false">
      <c r="A577" s="62" t="n">
        <v>46230</v>
      </c>
      <c r="B577" s="63" t="n">
        <v>0</v>
      </c>
      <c r="C577" s="63" t="n">
        <v>0</v>
      </c>
      <c r="D577" s="63" t="n">
        <v>0</v>
      </c>
      <c r="E577" s="63" t="n">
        <v>3</v>
      </c>
      <c r="F577" s="43" t="n">
        <f aca="false">SUM(B577:E577)</f>
        <v>3</v>
      </c>
      <c r="G577" s="60" t="n">
        <f aca="false">DATE(YEAR(A577),MONTH(A577),1)</f>
        <v>46204</v>
      </c>
      <c r="H577" s="63" t="n">
        <v>0</v>
      </c>
      <c r="I577" s="63" t="n">
        <v>14</v>
      </c>
      <c r="J577" s="43" t="n">
        <f aca="false">H577+I577</f>
        <v>14</v>
      </c>
    </row>
    <row r="578" customFormat="false" ht="15" hidden="false" customHeight="false" outlineLevel="0" collapsed="false">
      <c r="A578" s="62" t="n">
        <v>46231</v>
      </c>
      <c r="B578" s="63" t="n">
        <v>0</v>
      </c>
      <c r="C578" s="63" t="n">
        <v>0</v>
      </c>
      <c r="D578" s="63" t="n">
        <v>0</v>
      </c>
      <c r="E578" s="63" t="n">
        <v>2592</v>
      </c>
      <c r="F578" s="43" t="n">
        <f aca="false">SUM(B578:E578)</f>
        <v>2592</v>
      </c>
      <c r="G578" s="60" t="n">
        <f aca="false">DATE(YEAR(A578),MONTH(A578),1)</f>
        <v>46204</v>
      </c>
      <c r="H578" s="63" t="n">
        <v>0</v>
      </c>
      <c r="I578" s="63" t="n">
        <v>216</v>
      </c>
      <c r="J578" s="43" t="n">
        <f aca="false">H578+I578</f>
        <v>216</v>
      </c>
    </row>
    <row r="579" customFormat="false" ht="15" hidden="false" customHeight="false" outlineLevel="0" collapsed="false">
      <c r="A579" s="62" t="n">
        <v>46232</v>
      </c>
      <c r="B579" s="63" t="n">
        <v>0</v>
      </c>
      <c r="C579" s="63" t="n">
        <v>0</v>
      </c>
      <c r="D579" s="63" t="n">
        <v>0</v>
      </c>
      <c r="E579" s="63" t="n">
        <v>7</v>
      </c>
      <c r="F579" s="43" t="n">
        <f aca="false">SUM(B579:E579)</f>
        <v>7</v>
      </c>
      <c r="G579" s="60" t="n">
        <f aca="false">DATE(YEAR(A579),MONTH(A579),1)</f>
        <v>46204</v>
      </c>
      <c r="H579" s="63" t="n">
        <v>0</v>
      </c>
      <c r="I579" s="63" t="n">
        <v>43</v>
      </c>
      <c r="J579" s="43" t="n">
        <f aca="false">H579+I579</f>
        <v>43</v>
      </c>
    </row>
    <row r="580" customFormat="false" ht="15" hidden="false" customHeight="false" outlineLevel="0" collapsed="false">
      <c r="A580" s="62" t="n">
        <v>46233</v>
      </c>
      <c r="B580" s="63" t="n">
        <v>0</v>
      </c>
      <c r="C580" s="63" t="n">
        <v>0</v>
      </c>
      <c r="D580" s="63" t="n">
        <v>0</v>
      </c>
      <c r="E580" s="63" t="n">
        <v>7</v>
      </c>
      <c r="F580" s="43" t="n">
        <f aca="false">SUM(B580:E580)</f>
        <v>7</v>
      </c>
      <c r="G580" s="60" t="n">
        <f aca="false">DATE(YEAR(A580),MONTH(A580),1)</f>
        <v>46204</v>
      </c>
      <c r="H580" s="63" t="n">
        <v>0</v>
      </c>
      <c r="I580" s="63" t="n">
        <v>19</v>
      </c>
      <c r="J580" s="43" t="n">
        <f aca="false">H580+I580</f>
        <v>19</v>
      </c>
    </row>
    <row r="581" customFormat="false" ht="15" hidden="false" customHeight="false" outlineLevel="0" collapsed="false">
      <c r="A581" s="62" t="n">
        <v>46234</v>
      </c>
      <c r="B581" s="63" t="n">
        <v>0</v>
      </c>
      <c r="C581" s="63" t="n">
        <v>0</v>
      </c>
      <c r="D581" s="63" t="n">
        <v>0</v>
      </c>
      <c r="E581" s="63" t="n">
        <v>4111</v>
      </c>
      <c r="F581" s="43" t="n">
        <f aca="false">SUM(B581:E581)</f>
        <v>4111</v>
      </c>
      <c r="G581" s="60" t="n">
        <f aca="false">DATE(YEAR(A581),MONTH(A581),1)</f>
        <v>46204</v>
      </c>
      <c r="H581" s="63" t="n">
        <v>0</v>
      </c>
      <c r="I581" s="63" t="n">
        <v>180</v>
      </c>
      <c r="J581" s="43" t="n">
        <f aca="false">H581+I581</f>
        <v>180</v>
      </c>
    </row>
    <row r="582" customFormat="false" ht="15" hidden="false" customHeight="false" outlineLevel="0" collapsed="false">
      <c r="A582" s="62" t="n">
        <v>46235</v>
      </c>
      <c r="B582" s="63" t="n">
        <v>0</v>
      </c>
      <c r="C582" s="63" t="n">
        <v>0</v>
      </c>
      <c r="D582" s="63" t="n">
        <v>0</v>
      </c>
      <c r="E582" s="63" t="n">
        <v>4</v>
      </c>
      <c r="F582" s="43" t="n">
        <f aca="false">SUM(B582:E582)</f>
        <v>4</v>
      </c>
      <c r="G582" s="60" t="n">
        <f aca="false">DATE(YEAR(A582),MONTH(A582),1)</f>
        <v>46235</v>
      </c>
      <c r="H582" s="63" t="n">
        <v>0</v>
      </c>
      <c r="I582" s="63" t="n">
        <v>16</v>
      </c>
      <c r="J582" s="43" t="n">
        <f aca="false">H582+I582</f>
        <v>16</v>
      </c>
    </row>
    <row r="583" customFormat="false" ht="15" hidden="false" customHeight="false" outlineLevel="0" collapsed="false">
      <c r="A583" s="62" t="n">
        <v>46236</v>
      </c>
      <c r="B583" s="63" t="n">
        <v>0</v>
      </c>
      <c r="C583" s="63" t="n">
        <v>0</v>
      </c>
      <c r="D583" s="63" t="n">
        <v>0</v>
      </c>
      <c r="E583" s="63" t="n">
        <v>7</v>
      </c>
      <c r="F583" s="43" t="n">
        <f aca="false">SUM(B583:E583)</f>
        <v>7</v>
      </c>
      <c r="G583" s="60" t="n">
        <f aca="false">DATE(YEAR(A583),MONTH(A583),1)</f>
        <v>46235</v>
      </c>
      <c r="H583" s="63" t="n">
        <v>0</v>
      </c>
      <c r="I583" s="63" t="n">
        <v>13</v>
      </c>
      <c r="J583" s="43" t="n">
        <f aca="false">H583+I583</f>
        <v>13</v>
      </c>
    </row>
    <row r="584" customFormat="false" ht="15" hidden="false" customHeight="false" outlineLevel="0" collapsed="false">
      <c r="A584" s="62" t="n">
        <v>46237</v>
      </c>
      <c r="B584" s="63" t="n">
        <v>0</v>
      </c>
      <c r="C584" s="63" t="n">
        <v>0</v>
      </c>
      <c r="D584" s="63" t="n">
        <v>0</v>
      </c>
      <c r="E584" s="63" t="n">
        <v>6</v>
      </c>
      <c r="F584" s="43" t="n">
        <f aca="false">SUM(B584:E584)</f>
        <v>6</v>
      </c>
      <c r="G584" s="60" t="n">
        <f aca="false">DATE(YEAR(A584),MONTH(A584),1)</f>
        <v>46235</v>
      </c>
      <c r="H584" s="63" t="n">
        <v>0</v>
      </c>
      <c r="I584" s="63" t="n">
        <v>22</v>
      </c>
      <c r="J584" s="43" t="n">
        <f aca="false">H584+I584</f>
        <v>22</v>
      </c>
    </row>
    <row r="585" customFormat="false" ht="15" hidden="false" customHeight="false" outlineLevel="0" collapsed="false">
      <c r="A585" s="62" t="n">
        <v>46238</v>
      </c>
      <c r="B585" s="63" t="n">
        <v>0</v>
      </c>
      <c r="C585" s="63" t="n">
        <v>0</v>
      </c>
      <c r="D585" s="63" t="n">
        <v>0</v>
      </c>
      <c r="E585" s="63" t="n">
        <v>3</v>
      </c>
      <c r="F585" s="43" t="n">
        <f aca="false">SUM(B585:E585)</f>
        <v>3</v>
      </c>
      <c r="G585" s="60" t="n">
        <f aca="false">DATE(YEAR(A585),MONTH(A585),1)</f>
        <v>46235</v>
      </c>
      <c r="H585" s="63" t="n">
        <v>0</v>
      </c>
      <c r="I585" s="63" t="n">
        <v>11</v>
      </c>
      <c r="J585" s="43" t="n">
        <f aca="false">H585+I585</f>
        <v>11</v>
      </c>
    </row>
    <row r="586" customFormat="false" ht="15" hidden="false" customHeight="false" outlineLevel="0" collapsed="false">
      <c r="A586" s="62" t="n">
        <v>46239</v>
      </c>
      <c r="B586" s="63" t="n">
        <v>0</v>
      </c>
      <c r="C586" s="63" t="n">
        <v>0</v>
      </c>
      <c r="D586" s="63" t="n">
        <v>0</v>
      </c>
      <c r="E586" s="63" t="n">
        <v>1</v>
      </c>
      <c r="F586" s="43" t="n">
        <f aca="false">SUM(B586:E586)</f>
        <v>1</v>
      </c>
      <c r="G586" s="60" t="n">
        <f aca="false">DATE(YEAR(A586),MONTH(A586),1)</f>
        <v>46235</v>
      </c>
      <c r="H586" s="63" t="n">
        <v>0</v>
      </c>
      <c r="I586" s="63" t="n">
        <v>13</v>
      </c>
      <c r="J586" s="43" t="n">
        <f aca="false">H586+I586</f>
        <v>13</v>
      </c>
    </row>
    <row r="587" customFormat="false" ht="15" hidden="false" customHeight="false" outlineLevel="0" collapsed="false">
      <c r="A587" s="62" t="n">
        <v>46240</v>
      </c>
      <c r="B587" s="63" t="n">
        <v>0</v>
      </c>
      <c r="C587" s="63" t="n">
        <v>0</v>
      </c>
      <c r="D587" s="63" t="n">
        <v>0</v>
      </c>
      <c r="E587" s="63" t="n">
        <v>4</v>
      </c>
      <c r="F587" s="43" t="n">
        <f aca="false">SUM(B587:E587)</f>
        <v>4</v>
      </c>
      <c r="G587" s="60" t="n">
        <f aca="false">DATE(YEAR(A587),MONTH(A587),1)</f>
        <v>46235</v>
      </c>
      <c r="H587" s="63" t="n">
        <v>0</v>
      </c>
      <c r="I587" s="63" t="n">
        <v>10</v>
      </c>
      <c r="J587" s="43" t="n">
        <f aca="false">H587+I587</f>
        <v>10</v>
      </c>
    </row>
    <row r="588" customFormat="false" ht="15" hidden="false" customHeight="false" outlineLevel="0" collapsed="false">
      <c r="A588" s="62" t="n">
        <v>46241</v>
      </c>
      <c r="B588" s="63" t="n">
        <v>0</v>
      </c>
      <c r="C588" s="63" t="n">
        <v>0</v>
      </c>
      <c r="D588" s="63" t="n">
        <v>0</v>
      </c>
      <c r="E588" s="63" t="n">
        <v>5</v>
      </c>
      <c r="F588" s="43" t="n">
        <f aca="false">SUM(B588:E588)</f>
        <v>5</v>
      </c>
      <c r="G588" s="60" t="n">
        <f aca="false">DATE(YEAR(A588),MONTH(A588),1)</f>
        <v>46235</v>
      </c>
      <c r="H588" s="63" t="n">
        <v>0</v>
      </c>
      <c r="I588" s="63" t="n">
        <v>13</v>
      </c>
      <c r="J588" s="43" t="n">
        <f aca="false">H588+I588</f>
        <v>13</v>
      </c>
    </row>
    <row r="589" customFormat="false" ht="15" hidden="false" customHeight="false" outlineLevel="0" collapsed="false">
      <c r="A589" s="62" t="n">
        <v>46242</v>
      </c>
      <c r="B589" s="63" t="n">
        <v>0</v>
      </c>
      <c r="C589" s="63" t="n">
        <v>0</v>
      </c>
      <c r="D589" s="63" t="n">
        <v>0</v>
      </c>
      <c r="E589" s="63" t="n">
        <v>3064</v>
      </c>
      <c r="F589" s="43" t="n">
        <f aca="false">SUM(B589:E589)</f>
        <v>3064</v>
      </c>
      <c r="G589" s="60" t="n">
        <f aca="false">DATE(YEAR(A589),MONTH(A589),1)</f>
        <v>46235</v>
      </c>
      <c r="H589" s="63" t="n">
        <v>0</v>
      </c>
      <c r="I589" s="63" t="n">
        <v>1449</v>
      </c>
      <c r="J589" s="43" t="n">
        <f aca="false">H589+I589</f>
        <v>1449</v>
      </c>
    </row>
    <row r="590" customFormat="false" ht="15" hidden="false" customHeight="false" outlineLevel="0" collapsed="false">
      <c r="A590" s="62" t="n">
        <v>46243</v>
      </c>
      <c r="B590" s="63" t="n">
        <v>0</v>
      </c>
      <c r="C590" s="63" t="n">
        <v>0</v>
      </c>
      <c r="D590" s="63" t="n">
        <v>0</v>
      </c>
      <c r="E590" s="63" t="n">
        <v>3167</v>
      </c>
      <c r="F590" s="43" t="n">
        <f aca="false">SUM(B590:E590)</f>
        <v>3167</v>
      </c>
      <c r="G590" s="60" t="n">
        <f aca="false">DATE(YEAR(A590),MONTH(A590),1)</f>
        <v>46235</v>
      </c>
      <c r="H590" s="63" t="n">
        <v>0</v>
      </c>
      <c r="I590" s="63" t="n">
        <v>2597</v>
      </c>
      <c r="J590" s="43" t="n">
        <f aca="false">H590+I590</f>
        <v>2597</v>
      </c>
    </row>
    <row r="591" customFormat="false" ht="15" hidden="false" customHeight="false" outlineLevel="0" collapsed="false">
      <c r="A591" s="62" t="n">
        <v>46244</v>
      </c>
      <c r="B591" s="63" t="n">
        <v>0</v>
      </c>
      <c r="C591" s="63" t="n">
        <v>0</v>
      </c>
      <c r="D591" s="63" t="n">
        <v>0</v>
      </c>
      <c r="E591" s="63" t="n">
        <v>6046</v>
      </c>
      <c r="F591" s="43" t="n">
        <f aca="false">SUM(B591:E591)</f>
        <v>6046</v>
      </c>
      <c r="G591" s="60" t="n">
        <f aca="false">DATE(YEAR(A591),MONTH(A591),1)</f>
        <v>46235</v>
      </c>
      <c r="H591" s="63" t="n">
        <v>0</v>
      </c>
      <c r="I591" s="63" t="n">
        <v>962</v>
      </c>
      <c r="J591" s="43" t="n">
        <f aca="false">H591+I591</f>
        <v>962</v>
      </c>
    </row>
    <row r="592" customFormat="false" ht="15" hidden="false" customHeight="false" outlineLevel="0" collapsed="false">
      <c r="A592" s="62" t="n">
        <v>46245</v>
      </c>
      <c r="B592" s="63" t="n">
        <v>0</v>
      </c>
      <c r="C592" s="63" t="n">
        <v>0</v>
      </c>
      <c r="D592" s="63" t="n">
        <v>0</v>
      </c>
      <c r="E592" s="63" t="n">
        <v>3529</v>
      </c>
      <c r="F592" s="43" t="n">
        <f aca="false">SUM(B592:E592)</f>
        <v>3529</v>
      </c>
      <c r="G592" s="60" t="n">
        <f aca="false">DATE(YEAR(A592),MONTH(A592),1)</f>
        <v>46235</v>
      </c>
      <c r="H592" s="63" t="n">
        <v>0</v>
      </c>
      <c r="I592" s="63" t="n">
        <v>78</v>
      </c>
      <c r="J592" s="43" t="n">
        <f aca="false">H592+I592</f>
        <v>78</v>
      </c>
    </row>
    <row r="593" customFormat="false" ht="15" hidden="false" customHeight="false" outlineLevel="0" collapsed="false">
      <c r="A593" s="62" t="n">
        <v>46246</v>
      </c>
      <c r="B593" s="63" t="n">
        <v>0</v>
      </c>
      <c r="C593" s="63" t="n">
        <v>0</v>
      </c>
      <c r="D593" s="63" t="n">
        <v>0</v>
      </c>
      <c r="E593" s="63" t="n">
        <v>1651</v>
      </c>
      <c r="F593" s="43" t="n">
        <f aca="false">SUM(B593:E593)</f>
        <v>1651</v>
      </c>
      <c r="G593" s="60" t="n">
        <f aca="false">DATE(YEAR(A593),MONTH(A593),1)</f>
        <v>46235</v>
      </c>
      <c r="H593" s="63" t="n">
        <v>0</v>
      </c>
      <c r="I593" s="63" t="n">
        <v>15</v>
      </c>
      <c r="J593" s="43" t="n">
        <f aca="false">H593+I593</f>
        <v>15</v>
      </c>
    </row>
    <row r="594" customFormat="false" ht="15" hidden="false" customHeight="false" outlineLevel="0" collapsed="false">
      <c r="A594" s="62" t="n">
        <v>46247</v>
      </c>
      <c r="B594" s="63" t="n">
        <v>0</v>
      </c>
      <c r="C594" s="63" t="n">
        <v>0</v>
      </c>
      <c r="D594" s="63" t="n">
        <v>0</v>
      </c>
      <c r="E594" s="63" t="n">
        <v>3164</v>
      </c>
      <c r="F594" s="43" t="n">
        <f aca="false">SUM(B594:E594)</f>
        <v>3164</v>
      </c>
      <c r="G594" s="60" t="n">
        <f aca="false">DATE(YEAR(A594),MONTH(A594),1)</f>
        <v>46235</v>
      </c>
      <c r="H594" s="63" t="n">
        <v>0</v>
      </c>
      <c r="I594" s="63" t="n">
        <v>47</v>
      </c>
      <c r="J594" s="43" t="n">
        <f aca="false">H594+I594</f>
        <v>47</v>
      </c>
    </row>
    <row r="595" customFormat="false" ht="15" hidden="false" customHeight="false" outlineLevel="0" collapsed="false">
      <c r="A595" s="62" t="n">
        <v>46248</v>
      </c>
      <c r="B595" s="63" t="n">
        <v>0</v>
      </c>
      <c r="C595" s="63" t="n">
        <v>0</v>
      </c>
      <c r="D595" s="63" t="n">
        <v>0</v>
      </c>
      <c r="E595" s="63" t="n">
        <v>4542</v>
      </c>
      <c r="F595" s="43" t="n">
        <f aca="false">SUM(B595:E595)</f>
        <v>4542</v>
      </c>
      <c r="G595" s="60" t="n">
        <f aca="false">DATE(YEAR(A595),MONTH(A595),1)</f>
        <v>46235</v>
      </c>
      <c r="H595" s="63" t="n">
        <v>0</v>
      </c>
      <c r="I595" s="63" t="n">
        <v>178</v>
      </c>
      <c r="J595" s="43" t="n">
        <f aca="false">H595+I595</f>
        <v>178</v>
      </c>
    </row>
    <row r="596" customFormat="false" ht="15" hidden="false" customHeight="false" outlineLevel="0" collapsed="false">
      <c r="A596" s="62" t="n">
        <v>46249</v>
      </c>
      <c r="B596" s="63" t="n">
        <v>0</v>
      </c>
      <c r="C596" s="63" t="n">
        <v>0</v>
      </c>
      <c r="D596" s="63" t="n">
        <v>0</v>
      </c>
      <c r="E596" s="63" t="n">
        <v>4879</v>
      </c>
      <c r="F596" s="43" t="n">
        <f aca="false">SUM(B596:E596)</f>
        <v>4879</v>
      </c>
      <c r="G596" s="60" t="n">
        <f aca="false">DATE(YEAR(A596),MONTH(A596),1)</f>
        <v>46235</v>
      </c>
      <c r="H596" s="63" t="n">
        <v>0</v>
      </c>
      <c r="I596" s="63" t="n">
        <v>623</v>
      </c>
      <c r="J596" s="43" t="n">
        <f aca="false">H596+I596</f>
        <v>623</v>
      </c>
    </row>
    <row r="597" customFormat="false" ht="15" hidden="false" customHeight="false" outlineLevel="0" collapsed="false">
      <c r="A597" s="62" t="n">
        <v>46250</v>
      </c>
      <c r="B597" s="63" t="n">
        <v>0</v>
      </c>
      <c r="C597" s="63" t="n">
        <v>0</v>
      </c>
      <c r="D597" s="63" t="n">
        <v>0</v>
      </c>
      <c r="E597" s="63" t="n">
        <v>20</v>
      </c>
      <c r="F597" s="43" t="n">
        <f aca="false">SUM(B597:E597)</f>
        <v>20</v>
      </c>
      <c r="G597" s="60" t="n">
        <f aca="false">DATE(YEAR(A597),MONTH(A597),1)</f>
        <v>46235</v>
      </c>
      <c r="H597" s="63" t="n">
        <v>0</v>
      </c>
      <c r="I597" s="63" t="n">
        <v>31</v>
      </c>
      <c r="J597" s="43" t="n">
        <f aca="false">H597+I597</f>
        <v>31</v>
      </c>
    </row>
    <row r="598" customFormat="false" ht="15" hidden="false" customHeight="false" outlineLevel="0" collapsed="false">
      <c r="A598" s="62" t="n">
        <v>46251</v>
      </c>
      <c r="B598" s="63" t="n">
        <v>0</v>
      </c>
      <c r="C598" s="63" t="n">
        <v>0</v>
      </c>
      <c r="D598" s="63" t="n">
        <v>0</v>
      </c>
      <c r="E598" s="63" t="n">
        <v>2130</v>
      </c>
      <c r="F598" s="43" t="n">
        <f aca="false">SUM(B598:E598)</f>
        <v>2130</v>
      </c>
      <c r="G598" s="60" t="n">
        <f aca="false">DATE(YEAR(A598),MONTH(A598),1)</f>
        <v>46235</v>
      </c>
      <c r="H598" s="63" t="n">
        <v>0</v>
      </c>
      <c r="I598" s="63" t="n">
        <v>102</v>
      </c>
      <c r="J598" s="43" t="n">
        <f aca="false">H598+I598</f>
        <v>102</v>
      </c>
    </row>
    <row r="599" customFormat="false" ht="15" hidden="false" customHeight="false" outlineLevel="0" collapsed="false">
      <c r="A599" s="62" t="n">
        <v>46252</v>
      </c>
      <c r="B599" s="63" t="n">
        <v>0</v>
      </c>
      <c r="C599" s="63" t="n">
        <v>0</v>
      </c>
      <c r="D599" s="63" t="n">
        <v>0</v>
      </c>
      <c r="E599" s="63" t="n">
        <v>13</v>
      </c>
      <c r="F599" s="43" t="n">
        <f aca="false">SUM(B599:E599)</f>
        <v>13</v>
      </c>
      <c r="G599" s="60" t="n">
        <f aca="false">DATE(YEAR(A599),MONTH(A599),1)</f>
        <v>46235</v>
      </c>
      <c r="H599" s="63" t="n">
        <v>0</v>
      </c>
      <c r="I599" s="63" t="n">
        <v>30</v>
      </c>
      <c r="J599" s="43" t="n">
        <f aca="false">H599+I599</f>
        <v>30</v>
      </c>
    </row>
    <row r="600" customFormat="false" ht="15" hidden="false" customHeight="false" outlineLevel="0" collapsed="false">
      <c r="A600" s="62" t="n">
        <v>46253</v>
      </c>
      <c r="B600" s="63" t="n">
        <v>0</v>
      </c>
      <c r="C600" s="63" t="n">
        <v>0</v>
      </c>
      <c r="D600" s="63" t="n">
        <v>0</v>
      </c>
      <c r="E600" s="63" t="n">
        <v>7</v>
      </c>
      <c r="F600" s="43" t="n">
        <f aca="false">SUM(B600:E600)</f>
        <v>7</v>
      </c>
      <c r="G600" s="60" t="n">
        <f aca="false">DATE(YEAR(A600),MONTH(A600),1)</f>
        <v>46235</v>
      </c>
      <c r="H600" s="63" t="n">
        <v>0</v>
      </c>
      <c r="I600" s="63" t="n">
        <v>7</v>
      </c>
      <c r="J600" s="43" t="n">
        <f aca="false">H600+I600</f>
        <v>7</v>
      </c>
    </row>
    <row r="601" customFormat="false" ht="15" hidden="false" customHeight="false" outlineLevel="0" collapsed="false">
      <c r="A601" s="62" t="n">
        <v>46254</v>
      </c>
      <c r="B601" s="63" t="n">
        <v>0</v>
      </c>
      <c r="C601" s="63" t="n">
        <v>0</v>
      </c>
      <c r="D601" s="63" t="n">
        <v>0</v>
      </c>
      <c r="E601" s="63" t="n">
        <v>6</v>
      </c>
      <c r="F601" s="43" t="n">
        <f aca="false">SUM(B601:E601)</f>
        <v>6</v>
      </c>
      <c r="G601" s="60" t="n">
        <f aca="false">DATE(YEAR(A601),MONTH(A601),1)</f>
        <v>46235</v>
      </c>
      <c r="H601" s="63" t="n">
        <v>0</v>
      </c>
      <c r="I601" s="63" t="n">
        <v>1</v>
      </c>
      <c r="J601" s="43" t="n">
        <f aca="false">H601+I601</f>
        <v>1</v>
      </c>
    </row>
    <row r="602" customFormat="false" ht="15" hidden="false" customHeight="false" outlineLevel="0" collapsed="false">
      <c r="A602" s="62" t="n">
        <v>46255</v>
      </c>
      <c r="B602" s="63" t="n">
        <v>0</v>
      </c>
      <c r="C602" s="63" t="n">
        <v>0</v>
      </c>
      <c r="D602" s="63" t="n">
        <v>0</v>
      </c>
      <c r="E602" s="63" t="n">
        <v>6603</v>
      </c>
      <c r="F602" s="43" t="n">
        <f aca="false">SUM(B602:E602)</f>
        <v>6603</v>
      </c>
      <c r="G602" s="60" t="n">
        <f aca="false">DATE(YEAR(A602),MONTH(A602),1)</f>
        <v>46235</v>
      </c>
      <c r="H602" s="63" t="n">
        <v>0</v>
      </c>
      <c r="I602" s="63" t="n">
        <v>73</v>
      </c>
      <c r="J602" s="43" t="n">
        <f aca="false">H602+I602</f>
        <v>73</v>
      </c>
    </row>
    <row r="603" customFormat="false" ht="15" hidden="false" customHeight="false" outlineLevel="0" collapsed="false">
      <c r="A603" s="62" t="n">
        <v>46256</v>
      </c>
      <c r="B603" s="63" t="n">
        <v>0</v>
      </c>
      <c r="C603" s="63" t="n">
        <v>0</v>
      </c>
      <c r="D603" s="63" t="n">
        <v>0</v>
      </c>
      <c r="E603" s="63" t="n">
        <v>1469</v>
      </c>
      <c r="F603" s="43" t="n">
        <f aca="false">SUM(B603:E603)</f>
        <v>1469</v>
      </c>
      <c r="G603" s="60" t="n">
        <f aca="false">DATE(YEAR(A603),MONTH(A603),1)</f>
        <v>46235</v>
      </c>
      <c r="H603" s="63" t="n">
        <v>0</v>
      </c>
      <c r="I603" s="63" t="n">
        <v>35</v>
      </c>
      <c r="J603" s="43" t="n">
        <f aca="false">H603+I603</f>
        <v>35</v>
      </c>
    </row>
    <row r="604" customFormat="false" ht="15" hidden="false" customHeight="false" outlineLevel="0" collapsed="false">
      <c r="A604" s="62" t="n">
        <v>46257</v>
      </c>
      <c r="B604" s="63" t="n">
        <v>0</v>
      </c>
      <c r="C604" s="63" t="n">
        <v>0</v>
      </c>
      <c r="D604" s="63" t="n">
        <v>0</v>
      </c>
      <c r="E604" s="63" t="n">
        <v>5</v>
      </c>
      <c r="F604" s="43" t="n">
        <f aca="false">SUM(B604:E604)</f>
        <v>5</v>
      </c>
      <c r="G604" s="60" t="n">
        <f aca="false">DATE(YEAR(A604),MONTH(A604),1)</f>
        <v>46235</v>
      </c>
      <c r="H604" s="63" t="n">
        <v>0</v>
      </c>
      <c r="I604" s="63" t="n">
        <v>12</v>
      </c>
      <c r="J604" s="43" t="n">
        <f aca="false">H604+I604</f>
        <v>12</v>
      </c>
    </row>
    <row r="605" customFormat="false" ht="15" hidden="false" customHeight="false" outlineLevel="0" collapsed="false">
      <c r="A605" s="62" t="n">
        <v>46258</v>
      </c>
      <c r="B605" s="63" t="n">
        <v>0</v>
      </c>
      <c r="C605" s="63" t="n">
        <v>0</v>
      </c>
      <c r="D605" s="63" t="n">
        <v>0</v>
      </c>
      <c r="E605" s="63" t="n">
        <v>4445</v>
      </c>
      <c r="F605" s="43" t="n">
        <f aca="false">SUM(B605:E605)</f>
        <v>4445</v>
      </c>
      <c r="G605" s="60" t="n">
        <f aca="false">DATE(YEAR(A605),MONTH(A605),1)</f>
        <v>46235</v>
      </c>
      <c r="H605" s="63" t="n">
        <v>0</v>
      </c>
      <c r="I605" s="63" t="n">
        <v>66</v>
      </c>
      <c r="J605" s="43" t="n">
        <f aca="false">H605+I605</f>
        <v>66</v>
      </c>
    </row>
    <row r="606" customFormat="false" ht="15" hidden="false" customHeight="false" outlineLevel="0" collapsed="false">
      <c r="A606" s="62" t="n">
        <v>46259</v>
      </c>
      <c r="B606" s="63" t="n">
        <v>0</v>
      </c>
      <c r="C606" s="63" t="n">
        <v>0</v>
      </c>
      <c r="D606" s="63" t="n">
        <v>0</v>
      </c>
      <c r="E606" s="63" t="n">
        <v>1888</v>
      </c>
      <c r="F606" s="43" t="n">
        <f aca="false">SUM(B606:E606)</f>
        <v>1888</v>
      </c>
      <c r="G606" s="60" t="n">
        <f aca="false">DATE(YEAR(A606),MONTH(A606),1)</f>
        <v>46235</v>
      </c>
      <c r="H606" s="63" t="n">
        <v>0</v>
      </c>
      <c r="I606" s="63" t="n">
        <v>42</v>
      </c>
      <c r="J606" s="43" t="n">
        <f aca="false">H606+I606</f>
        <v>42</v>
      </c>
    </row>
    <row r="607" customFormat="false" ht="15" hidden="false" customHeight="false" outlineLevel="0" collapsed="false">
      <c r="A607" s="62" t="n">
        <v>46260</v>
      </c>
      <c r="B607" s="63" t="n">
        <v>0</v>
      </c>
      <c r="C607" s="63" t="n">
        <v>0</v>
      </c>
      <c r="D607" s="63" t="n">
        <v>0</v>
      </c>
      <c r="E607" s="63" t="n">
        <v>8871</v>
      </c>
      <c r="F607" s="43" t="n">
        <f aca="false">SUM(B607:E607)</f>
        <v>8871</v>
      </c>
      <c r="G607" s="60" t="n">
        <f aca="false">DATE(YEAR(A607),MONTH(A607),1)</f>
        <v>46235</v>
      </c>
      <c r="H607" s="63" t="n">
        <v>0</v>
      </c>
      <c r="I607" s="63" t="n">
        <v>299</v>
      </c>
      <c r="J607" s="43" t="n">
        <f aca="false">H607+I607</f>
        <v>299</v>
      </c>
    </row>
    <row r="608" customFormat="false" ht="15" hidden="false" customHeight="false" outlineLevel="0" collapsed="false">
      <c r="A608" s="62" t="n">
        <v>46261</v>
      </c>
      <c r="B608" s="63" t="n">
        <v>0</v>
      </c>
      <c r="C608" s="63" t="n">
        <v>0</v>
      </c>
      <c r="D608" s="63" t="n">
        <v>0</v>
      </c>
      <c r="E608" s="63" t="n">
        <v>14228</v>
      </c>
      <c r="F608" s="43" t="n">
        <f aca="false">SUM(B608:E608)</f>
        <v>14228</v>
      </c>
      <c r="G608" s="60" t="n">
        <f aca="false">DATE(YEAR(A608),MONTH(A608),1)</f>
        <v>46235</v>
      </c>
      <c r="H608" s="63" t="n">
        <v>0</v>
      </c>
      <c r="I608" s="63" t="n">
        <v>451</v>
      </c>
      <c r="J608" s="43" t="n">
        <f aca="false">H608+I608</f>
        <v>451</v>
      </c>
    </row>
    <row r="609" customFormat="false" ht="15" hidden="false" customHeight="false" outlineLevel="0" collapsed="false">
      <c r="A609" s="62" t="n">
        <v>46262</v>
      </c>
      <c r="B609" s="63" t="n">
        <v>0</v>
      </c>
      <c r="C609" s="63" t="n">
        <v>0</v>
      </c>
      <c r="D609" s="63" t="n">
        <v>0</v>
      </c>
      <c r="E609" s="63" t="n">
        <v>4612</v>
      </c>
      <c r="F609" s="43" t="n">
        <f aca="false">SUM(B609:E609)</f>
        <v>4612</v>
      </c>
      <c r="G609" s="60" t="n">
        <f aca="false">DATE(YEAR(A609),MONTH(A609),1)</f>
        <v>46235</v>
      </c>
      <c r="H609" s="63" t="n">
        <v>0</v>
      </c>
      <c r="I609" s="63" t="n">
        <v>448</v>
      </c>
      <c r="J609" s="43" t="n">
        <f aca="false">H609+I609</f>
        <v>448</v>
      </c>
    </row>
    <row r="610" customFormat="false" ht="15" hidden="false" customHeight="false" outlineLevel="0" collapsed="false">
      <c r="A610" s="62" t="n">
        <v>46263</v>
      </c>
      <c r="B610" s="63" t="n">
        <v>0</v>
      </c>
      <c r="C610" s="63" t="n">
        <v>0</v>
      </c>
      <c r="D610" s="63" t="n">
        <v>0</v>
      </c>
      <c r="E610" s="63" t="n">
        <v>10</v>
      </c>
      <c r="F610" s="43" t="n">
        <f aca="false">SUM(B610:E610)</f>
        <v>10</v>
      </c>
      <c r="G610" s="60" t="n">
        <f aca="false">DATE(YEAR(A610),MONTH(A610),1)</f>
        <v>46235</v>
      </c>
      <c r="H610" s="63" t="n">
        <v>0</v>
      </c>
      <c r="I610" s="63" t="n">
        <v>39</v>
      </c>
      <c r="J610" s="43" t="n">
        <f aca="false">H610+I610</f>
        <v>39</v>
      </c>
    </row>
    <row r="611" customFormat="false" ht="15" hidden="false" customHeight="false" outlineLevel="0" collapsed="false">
      <c r="A611" s="62" t="n">
        <v>46264</v>
      </c>
      <c r="B611" s="63" t="n">
        <v>0</v>
      </c>
      <c r="C611" s="63" t="n">
        <v>0</v>
      </c>
      <c r="D611" s="63" t="n">
        <v>0</v>
      </c>
      <c r="E611" s="63" t="n">
        <v>4</v>
      </c>
      <c r="F611" s="43" t="n">
        <f aca="false">SUM(B611:E611)</f>
        <v>4</v>
      </c>
      <c r="G611" s="60" t="n">
        <f aca="false">DATE(YEAR(A611),MONTH(A611),1)</f>
        <v>46235</v>
      </c>
      <c r="H611" s="63" t="n">
        <v>0</v>
      </c>
      <c r="I611" s="63" t="n">
        <v>15</v>
      </c>
      <c r="J611" s="43" t="n">
        <f aca="false">H611+I611</f>
        <v>15</v>
      </c>
    </row>
    <row r="612" customFormat="false" ht="15" hidden="false" customHeight="false" outlineLevel="0" collapsed="false">
      <c r="A612" s="62" t="n">
        <v>46265</v>
      </c>
      <c r="B612" s="63" t="n">
        <v>0</v>
      </c>
      <c r="C612" s="63" t="n">
        <v>0</v>
      </c>
      <c r="D612" s="63" t="n">
        <v>0</v>
      </c>
      <c r="E612" s="63" t="n">
        <v>23587</v>
      </c>
      <c r="F612" s="43" t="n">
        <f aca="false">SUM(B612:E612)</f>
        <v>23587</v>
      </c>
      <c r="G612" s="60" t="n">
        <f aca="false">DATE(YEAR(A612),MONTH(A612),1)</f>
        <v>46235</v>
      </c>
      <c r="H612" s="63" t="n">
        <v>0</v>
      </c>
      <c r="I612" s="63" t="n">
        <v>315</v>
      </c>
      <c r="J612" s="43" t="n">
        <f aca="false">H612+I612</f>
        <v>315</v>
      </c>
    </row>
    <row r="613" customFormat="false" ht="15" hidden="false" customHeight="false" outlineLevel="0" collapsed="false">
      <c r="A613" s="62" t="n">
        <v>46266</v>
      </c>
      <c r="B613" s="63" t="n">
        <v>0</v>
      </c>
      <c r="C613" s="63" t="n">
        <v>0</v>
      </c>
      <c r="D613" s="63" t="n">
        <v>0</v>
      </c>
      <c r="E613" s="63" t="n">
        <v>46</v>
      </c>
      <c r="F613" s="43" t="n">
        <f aca="false">SUM(B613:E613)</f>
        <v>46</v>
      </c>
      <c r="G613" s="60" t="n">
        <f aca="false">DATE(YEAR(A613),MONTH(A613),1)</f>
        <v>46266</v>
      </c>
      <c r="H613" s="63" t="n">
        <v>0</v>
      </c>
      <c r="I613" s="63" t="n">
        <v>26</v>
      </c>
      <c r="J613" s="43" t="n">
        <f aca="false">H613+I613</f>
        <v>26</v>
      </c>
    </row>
    <row r="614" customFormat="false" ht="15" hidden="false" customHeight="false" outlineLevel="0" collapsed="false">
      <c r="A614" s="62" t="n">
        <v>46267</v>
      </c>
      <c r="B614" s="63" t="n">
        <v>0</v>
      </c>
      <c r="C614" s="63" t="n">
        <v>0</v>
      </c>
      <c r="D614" s="63" t="n">
        <v>0</v>
      </c>
      <c r="E614" s="63" t="n">
        <v>5133</v>
      </c>
      <c r="F614" s="43" t="n">
        <f aca="false">SUM(B614:E614)</f>
        <v>5133</v>
      </c>
      <c r="G614" s="60" t="n">
        <f aca="false">DATE(YEAR(A614),MONTH(A614),1)</f>
        <v>46266</v>
      </c>
      <c r="H614" s="63" t="n">
        <v>0</v>
      </c>
      <c r="I614" s="63" t="n">
        <v>108</v>
      </c>
      <c r="J614" s="43" t="n">
        <f aca="false">H614+I614</f>
        <v>108</v>
      </c>
    </row>
    <row r="615" customFormat="false" ht="15" hidden="false" customHeight="false" outlineLevel="0" collapsed="false">
      <c r="A615" s="62" t="n">
        <v>46268</v>
      </c>
      <c r="B615" s="63" t="n">
        <v>0</v>
      </c>
      <c r="C615" s="63" t="n">
        <v>0</v>
      </c>
      <c r="D615" s="63" t="n">
        <v>0</v>
      </c>
      <c r="E615" s="63" t="n">
        <v>16</v>
      </c>
      <c r="F615" s="43" t="n">
        <f aca="false">SUM(B615:E615)</f>
        <v>16</v>
      </c>
      <c r="G615" s="60" t="n">
        <f aca="false">DATE(YEAR(A615),MONTH(A615),1)</f>
        <v>46266</v>
      </c>
      <c r="H615" s="63" t="n">
        <v>0</v>
      </c>
      <c r="I615" s="63" t="n">
        <v>14</v>
      </c>
      <c r="J615" s="43" t="n">
        <f aca="false">H615+I615</f>
        <v>14</v>
      </c>
    </row>
    <row r="616" customFormat="false" ht="15" hidden="false" customHeight="false" outlineLevel="0" collapsed="false">
      <c r="A616" s="62" t="n">
        <v>46269</v>
      </c>
      <c r="B616" s="63" t="n">
        <v>0</v>
      </c>
      <c r="C616" s="63" t="n">
        <v>0</v>
      </c>
      <c r="D616" s="63" t="n">
        <v>0</v>
      </c>
      <c r="E616" s="63" t="n">
        <v>7</v>
      </c>
      <c r="F616" s="43" t="n">
        <f aca="false">SUM(B616:E616)</f>
        <v>7</v>
      </c>
      <c r="G616" s="60" t="n">
        <f aca="false">DATE(YEAR(A616),MONTH(A616),1)</f>
        <v>46266</v>
      </c>
      <c r="H616" s="63" t="n">
        <v>0</v>
      </c>
      <c r="I616" s="63" t="n">
        <v>16</v>
      </c>
      <c r="J616" s="43" t="n">
        <f aca="false">H616+I616</f>
        <v>16</v>
      </c>
    </row>
    <row r="617" customFormat="false" ht="15" hidden="false" customHeight="false" outlineLevel="0" collapsed="false">
      <c r="A617" s="62" t="n">
        <v>46270</v>
      </c>
      <c r="B617" s="63" t="n">
        <v>10110</v>
      </c>
      <c r="C617" s="63" t="n">
        <v>0</v>
      </c>
      <c r="D617" s="63" t="n">
        <v>0</v>
      </c>
      <c r="E617" s="63" t="n">
        <v>4</v>
      </c>
      <c r="F617" s="43" t="n">
        <f aca="false">SUM(B617:E617)</f>
        <v>10114</v>
      </c>
      <c r="G617" s="60" t="n">
        <f aca="false">DATE(YEAR(A617),MONTH(A617),1)</f>
        <v>46266</v>
      </c>
      <c r="H617" s="63" t="n">
        <v>0</v>
      </c>
      <c r="I617" s="63" t="n">
        <v>585</v>
      </c>
      <c r="J617" s="43" t="n">
        <f aca="false">H617+I617</f>
        <v>585</v>
      </c>
    </row>
    <row r="618" customFormat="false" ht="15" hidden="false" customHeight="false" outlineLevel="0" collapsed="false">
      <c r="A618" s="62" t="n">
        <v>46271</v>
      </c>
      <c r="B618" s="63" t="n">
        <v>45</v>
      </c>
      <c r="C618" s="63" t="n">
        <v>0</v>
      </c>
      <c r="D618" s="63" t="n">
        <v>0</v>
      </c>
      <c r="E618" s="63" t="n">
        <v>2</v>
      </c>
      <c r="F618" s="43" t="n">
        <f aca="false">SUM(B618:E618)</f>
        <v>47</v>
      </c>
      <c r="G618" s="60" t="n">
        <f aca="false">DATE(YEAR(A618),MONTH(A618),1)</f>
        <v>46266</v>
      </c>
      <c r="H618" s="63" t="n">
        <v>0</v>
      </c>
      <c r="I618" s="63" t="n">
        <v>59</v>
      </c>
      <c r="J618" s="43" t="n">
        <f aca="false">H618+I618</f>
        <v>59</v>
      </c>
    </row>
    <row r="619" customFormat="false" ht="15" hidden="false" customHeight="false" outlineLevel="0" collapsed="false">
      <c r="A619" s="62" t="n">
        <v>46272</v>
      </c>
      <c r="B619" s="63" t="n">
        <v>8815</v>
      </c>
      <c r="C619" s="63" t="n">
        <v>0</v>
      </c>
      <c r="D619" s="63" t="n">
        <v>0</v>
      </c>
      <c r="E619" s="63" t="n">
        <v>15115</v>
      </c>
      <c r="F619" s="43" t="n">
        <f aca="false">SUM(B619:E619)</f>
        <v>23930</v>
      </c>
      <c r="G619" s="60" t="n">
        <f aca="false">DATE(YEAR(A619),MONTH(A619),1)</f>
        <v>46266</v>
      </c>
      <c r="H619" s="63" t="n">
        <v>0</v>
      </c>
      <c r="I619" s="63" t="n">
        <v>1079</v>
      </c>
      <c r="J619" s="43" t="n">
        <f aca="false">H619+I619</f>
        <v>1079</v>
      </c>
    </row>
    <row r="620" customFormat="false" ht="15" hidden="false" customHeight="false" outlineLevel="0" collapsed="false">
      <c r="A620" s="62" t="n">
        <v>46273</v>
      </c>
      <c r="B620" s="63" t="n">
        <v>6680</v>
      </c>
      <c r="C620" s="63" t="n">
        <v>0</v>
      </c>
      <c r="D620" s="63" t="n">
        <v>0</v>
      </c>
      <c r="E620" s="63" t="n">
        <v>7274</v>
      </c>
      <c r="F620" s="43" t="n">
        <f aca="false">SUM(B620:E620)</f>
        <v>13954</v>
      </c>
      <c r="G620" s="60" t="n">
        <f aca="false">DATE(YEAR(A620),MONTH(A620),1)</f>
        <v>46266</v>
      </c>
      <c r="H620" s="63" t="n">
        <v>0</v>
      </c>
      <c r="I620" s="63" t="n">
        <v>557</v>
      </c>
      <c r="J620" s="43" t="n">
        <f aca="false">H620+I620</f>
        <v>557</v>
      </c>
    </row>
    <row r="621" customFormat="false" ht="15" hidden="false" customHeight="false" outlineLevel="0" collapsed="false">
      <c r="A621" s="62" t="n">
        <v>46274</v>
      </c>
      <c r="B621" s="63" t="n">
        <v>20004</v>
      </c>
      <c r="C621" s="63" t="n">
        <v>0</v>
      </c>
      <c r="D621" s="63" t="n">
        <v>0</v>
      </c>
      <c r="E621" s="63" t="n">
        <v>2034</v>
      </c>
      <c r="F621" s="43" t="n">
        <f aca="false">SUM(B621:E621)</f>
        <v>22038</v>
      </c>
      <c r="G621" s="60" t="n">
        <f aca="false">DATE(YEAR(A621),MONTH(A621),1)</f>
        <v>46266</v>
      </c>
      <c r="H621" s="63" t="n">
        <v>0</v>
      </c>
      <c r="I621" s="63" t="n">
        <v>1215</v>
      </c>
      <c r="J621" s="43" t="n">
        <f aca="false">H621+I621</f>
        <v>1215</v>
      </c>
    </row>
    <row r="622" customFormat="false" ht="15" hidden="false" customHeight="false" outlineLevel="0" collapsed="false">
      <c r="A622" s="62" t="n">
        <v>46275</v>
      </c>
      <c r="B622" s="63" t="n">
        <v>2181</v>
      </c>
      <c r="C622" s="63" t="n">
        <v>0</v>
      </c>
      <c r="D622" s="63" t="n">
        <v>0</v>
      </c>
      <c r="E622" s="63" t="n">
        <v>6756</v>
      </c>
      <c r="F622" s="43" t="n">
        <f aca="false">SUM(B622:E622)</f>
        <v>8937</v>
      </c>
      <c r="G622" s="60" t="n">
        <f aca="false">DATE(YEAR(A622),MONTH(A622),1)</f>
        <v>46266</v>
      </c>
      <c r="H622" s="63" t="n">
        <v>0</v>
      </c>
      <c r="I622" s="63" t="n">
        <v>412</v>
      </c>
      <c r="J622" s="43" t="n">
        <f aca="false">H622+I622</f>
        <v>412</v>
      </c>
    </row>
    <row r="623" customFormat="false" ht="15" hidden="false" customHeight="false" outlineLevel="0" collapsed="false">
      <c r="A623" s="62" t="n">
        <v>46276</v>
      </c>
      <c r="B623" s="63" t="n">
        <v>6777</v>
      </c>
      <c r="C623" s="63" t="n">
        <v>0</v>
      </c>
      <c r="D623" s="63" t="n">
        <v>0</v>
      </c>
      <c r="E623" s="63" t="n">
        <v>3896</v>
      </c>
      <c r="F623" s="43" t="n">
        <f aca="false">SUM(B623:E623)</f>
        <v>10673</v>
      </c>
      <c r="G623" s="60" t="n">
        <f aca="false">DATE(YEAR(A623),MONTH(A623),1)</f>
        <v>46266</v>
      </c>
      <c r="H623" s="63" t="n">
        <v>0</v>
      </c>
      <c r="I623" s="63" t="n">
        <v>481</v>
      </c>
      <c r="J623" s="43" t="n">
        <f aca="false">H623+I623</f>
        <v>481</v>
      </c>
    </row>
    <row r="624" customFormat="false" ht="15" hidden="false" customHeight="false" outlineLevel="0" collapsed="false">
      <c r="A624" s="62" t="n">
        <v>46277</v>
      </c>
      <c r="B624" s="63" t="n">
        <v>3935</v>
      </c>
      <c r="C624" s="63" t="n">
        <v>0</v>
      </c>
      <c r="D624" s="63" t="n">
        <v>0</v>
      </c>
      <c r="E624" s="63" t="n">
        <v>13</v>
      </c>
      <c r="F624" s="43" t="n">
        <f aca="false">SUM(B624:E624)</f>
        <v>3948</v>
      </c>
      <c r="G624" s="60" t="n">
        <f aca="false">DATE(YEAR(A624),MONTH(A624),1)</f>
        <v>46266</v>
      </c>
      <c r="H624" s="63" t="n">
        <v>0</v>
      </c>
      <c r="I624" s="63" t="n">
        <v>347</v>
      </c>
      <c r="J624" s="43" t="n">
        <f aca="false">H624+I624</f>
        <v>347</v>
      </c>
    </row>
    <row r="625" customFormat="false" ht="15" hidden="false" customHeight="false" outlineLevel="0" collapsed="false">
      <c r="A625" s="62" t="n">
        <v>46278</v>
      </c>
      <c r="B625" s="63" t="n">
        <v>5769</v>
      </c>
      <c r="C625" s="63" t="n">
        <v>0</v>
      </c>
      <c r="D625" s="63" t="n">
        <v>0</v>
      </c>
      <c r="E625" s="63" t="n">
        <v>17978</v>
      </c>
      <c r="F625" s="43" t="n">
        <f aca="false">SUM(B625:E625)</f>
        <v>23747</v>
      </c>
      <c r="G625" s="60" t="n">
        <f aca="false">DATE(YEAR(A625),MONTH(A625),1)</f>
        <v>46266</v>
      </c>
      <c r="H625" s="63" t="n">
        <v>0</v>
      </c>
      <c r="I625" s="63" t="n">
        <v>689</v>
      </c>
      <c r="J625" s="43" t="n">
        <f aca="false">H625+I625</f>
        <v>689</v>
      </c>
    </row>
    <row r="626" customFormat="false" ht="15" hidden="false" customHeight="false" outlineLevel="0" collapsed="false">
      <c r="A626" s="62" t="n">
        <v>46279</v>
      </c>
      <c r="B626" s="63" t="n">
        <v>157</v>
      </c>
      <c r="C626" s="63" t="n">
        <v>0</v>
      </c>
      <c r="D626" s="63" t="n">
        <v>0</v>
      </c>
      <c r="E626" s="63" t="n">
        <v>1212</v>
      </c>
      <c r="F626" s="43" t="n">
        <f aca="false">SUM(B626:E626)</f>
        <v>1369</v>
      </c>
      <c r="G626" s="60" t="n">
        <f aca="false">DATE(YEAR(A626),MONTH(A626),1)</f>
        <v>46266</v>
      </c>
      <c r="H626" s="63" t="n">
        <v>0</v>
      </c>
      <c r="I626" s="63" t="n">
        <v>396</v>
      </c>
      <c r="J626" s="43" t="n">
        <f aca="false">H626+I626</f>
        <v>396</v>
      </c>
    </row>
    <row r="627" customFormat="false" ht="15" hidden="false" customHeight="false" outlineLevel="0" collapsed="false">
      <c r="A627" s="62" t="n">
        <v>46280</v>
      </c>
      <c r="B627" s="63" t="n">
        <v>26109</v>
      </c>
      <c r="C627" s="63" t="n">
        <v>0</v>
      </c>
      <c r="D627" s="63" t="n">
        <v>0</v>
      </c>
      <c r="E627" s="63" t="n">
        <v>1055</v>
      </c>
      <c r="F627" s="43" t="n">
        <f aca="false">SUM(B627:E627)</f>
        <v>27164</v>
      </c>
      <c r="G627" s="60" t="n">
        <f aca="false">DATE(YEAR(A627),MONTH(A627),1)</f>
        <v>46266</v>
      </c>
      <c r="H627" s="63" t="n">
        <v>0</v>
      </c>
      <c r="I627" s="63" t="n">
        <v>483</v>
      </c>
      <c r="J627" s="43" t="n">
        <f aca="false">H627+I627</f>
        <v>483</v>
      </c>
    </row>
    <row r="628" customFormat="false" ht="15" hidden="false" customHeight="false" outlineLevel="0" collapsed="false">
      <c r="A628" s="62" t="n">
        <v>46281</v>
      </c>
      <c r="B628" s="63" t="n">
        <v>177</v>
      </c>
      <c r="C628" s="63" t="n">
        <v>0</v>
      </c>
      <c r="D628" s="63" t="n">
        <v>0</v>
      </c>
      <c r="E628" s="63" t="n">
        <v>787</v>
      </c>
      <c r="F628" s="43" t="n">
        <f aca="false">SUM(B628:E628)</f>
        <v>964</v>
      </c>
      <c r="G628" s="60" t="n">
        <f aca="false">DATE(YEAR(A628),MONTH(A628),1)</f>
        <v>46266</v>
      </c>
      <c r="H628" s="63" t="n">
        <v>0</v>
      </c>
      <c r="I628" s="63" t="n">
        <v>155</v>
      </c>
      <c r="J628" s="43" t="n">
        <f aca="false">H628+I628</f>
        <v>155</v>
      </c>
    </row>
    <row r="629" customFormat="false" ht="15" hidden="false" customHeight="false" outlineLevel="0" collapsed="false">
      <c r="A629" s="62" t="n">
        <v>46282</v>
      </c>
      <c r="B629" s="63" t="n">
        <v>37</v>
      </c>
      <c r="C629" s="63" t="n">
        <v>0</v>
      </c>
      <c r="D629" s="63" t="n">
        <v>0</v>
      </c>
      <c r="E629" s="63" t="n">
        <v>20</v>
      </c>
      <c r="F629" s="43" t="n">
        <f aca="false">SUM(B629:E629)</f>
        <v>57</v>
      </c>
      <c r="G629" s="60" t="n">
        <f aca="false">DATE(YEAR(A629),MONTH(A629),1)</f>
        <v>46266</v>
      </c>
      <c r="H629" s="63" t="n">
        <v>0</v>
      </c>
      <c r="I629" s="63" t="n">
        <v>77</v>
      </c>
      <c r="J629" s="43" t="n">
        <f aca="false">H629+I629</f>
        <v>77</v>
      </c>
    </row>
    <row r="630" customFormat="false" ht="15" hidden="false" customHeight="false" outlineLevel="0" collapsed="false">
      <c r="A630" s="62" t="n">
        <v>46283</v>
      </c>
      <c r="B630" s="63" t="n">
        <v>9359</v>
      </c>
      <c r="C630" s="63" t="n">
        <v>0</v>
      </c>
      <c r="D630" s="63" t="n">
        <v>0</v>
      </c>
      <c r="E630" s="63" t="n">
        <v>6</v>
      </c>
      <c r="F630" s="43" t="n">
        <f aca="false">SUM(B630:E630)</f>
        <v>9365</v>
      </c>
      <c r="G630" s="60" t="n">
        <f aca="false">DATE(YEAR(A630),MONTH(A630),1)</f>
        <v>46266</v>
      </c>
      <c r="H630" s="63" t="n">
        <v>0</v>
      </c>
      <c r="I630" s="63" t="n">
        <v>228</v>
      </c>
      <c r="J630" s="43" t="n">
        <f aca="false">H630+I630</f>
        <v>228</v>
      </c>
    </row>
    <row r="631" customFormat="false" ht="15" hidden="false" customHeight="false" outlineLevel="0" collapsed="false">
      <c r="A631" s="62" t="n">
        <v>46284</v>
      </c>
      <c r="B631" s="63" t="n">
        <v>24</v>
      </c>
      <c r="C631" s="63" t="n">
        <v>0</v>
      </c>
      <c r="D631" s="63" t="n">
        <v>0</v>
      </c>
      <c r="E631" s="63" t="n">
        <v>6</v>
      </c>
      <c r="F631" s="43" t="n">
        <f aca="false">SUM(B631:E631)</f>
        <v>30</v>
      </c>
      <c r="G631" s="60" t="n">
        <f aca="false">DATE(YEAR(A631),MONTH(A631),1)</f>
        <v>46266</v>
      </c>
      <c r="H631" s="63" t="n">
        <v>0</v>
      </c>
      <c r="I631" s="63" t="n">
        <v>29</v>
      </c>
      <c r="J631" s="43" t="n">
        <f aca="false">H631+I631</f>
        <v>29</v>
      </c>
    </row>
    <row r="632" customFormat="false" ht="15" hidden="false" customHeight="false" outlineLevel="0" collapsed="false">
      <c r="A632" s="62" t="n">
        <v>46285</v>
      </c>
      <c r="B632" s="63" t="n">
        <v>17</v>
      </c>
      <c r="C632" s="63" t="n">
        <v>0</v>
      </c>
      <c r="D632" s="63" t="n">
        <v>0</v>
      </c>
      <c r="E632" s="63" t="n">
        <v>5</v>
      </c>
      <c r="F632" s="43" t="n">
        <f aca="false">SUM(B632:E632)</f>
        <v>22</v>
      </c>
      <c r="G632" s="60" t="n">
        <f aca="false">DATE(YEAR(A632),MONTH(A632),1)</f>
        <v>46266</v>
      </c>
      <c r="H632" s="63" t="n">
        <v>0</v>
      </c>
      <c r="I632" s="63" t="n">
        <v>20</v>
      </c>
      <c r="J632" s="43" t="n">
        <f aca="false">H632+I632</f>
        <v>20</v>
      </c>
    </row>
    <row r="633" customFormat="false" ht="15" hidden="false" customHeight="false" outlineLevel="0" collapsed="false">
      <c r="A633" s="62" t="n">
        <v>46286</v>
      </c>
      <c r="B633" s="63" t="n">
        <v>15</v>
      </c>
      <c r="C633" s="63" t="n">
        <v>0</v>
      </c>
      <c r="D633" s="63" t="n">
        <v>0</v>
      </c>
      <c r="E633" s="63" t="n">
        <v>815</v>
      </c>
      <c r="F633" s="43" t="n">
        <f aca="false">SUM(B633:E633)</f>
        <v>830</v>
      </c>
      <c r="G633" s="60" t="n">
        <f aca="false">DATE(YEAR(A633),MONTH(A633),1)</f>
        <v>46266</v>
      </c>
      <c r="H633" s="63" t="n">
        <v>0</v>
      </c>
      <c r="I633" s="63" t="n">
        <v>171</v>
      </c>
      <c r="J633" s="43" t="n">
        <f aca="false">H633+I633</f>
        <v>171</v>
      </c>
    </row>
    <row r="634" customFormat="false" ht="15" hidden="false" customHeight="false" outlineLevel="0" collapsed="false">
      <c r="A634" s="62" t="n">
        <v>46287</v>
      </c>
      <c r="B634" s="63" t="n">
        <v>21224</v>
      </c>
      <c r="C634" s="63" t="n">
        <v>0</v>
      </c>
      <c r="D634" s="63" t="n">
        <v>0</v>
      </c>
      <c r="E634" s="63" t="n">
        <v>364</v>
      </c>
      <c r="F634" s="43" t="n">
        <f aca="false">SUM(B634:E634)</f>
        <v>21588</v>
      </c>
      <c r="G634" s="60" t="n">
        <f aca="false">DATE(YEAR(A634),MONTH(A634),1)</f>
        <v>46266</v>
      </c>
      <c r="H634" s="63" t="n">
        <v>0</v>
      </c>
      <c r="I634" s="63" t="n">
        <v>739</v>
      </c>
      <c r="J634" s="43" t="n">
        <f aca="false">H634+I634</f>
        <v>739</v>
      </c>
    </row>
    <row r="635" customFormat="false" ht="15" hidden="false" customHeight="false" outlineLevel="0" collapsed="false">
      <c r="A635" s="62" t="n">
        <v>46288</v>
      </c>
      <c r="B635" s="63" t="n">
        <v>7542</v>
      </c>
      <c r="C635" s="63" t="n">
        <v>0</v>
      </c>
      <c r="D635" s="63" t="n">
        <v>0</v>
      </c>
      <c r="E635" s="63" t="n">
        <v>5</v>
      </c>
      <c r="F635" s="43" t="n">
        <f aca="false">SUM(B635:E635)</f>
        <v>7547</v>
      </c>
      <c r="G635" s="60" t="n">
        <f aca="false">DATE(YEAR(A635),MONTH(A635),1)</f>
        <v>46266</v>
      </c>
      <c r="H635" s="63" t="n">
        <v>0</v>
      </c>
      <c r="I635" s="63" t="n">
        <v>215</v>
      </c>
      <c r="J635" s="43" t="n">
        <f aca="false">H635+I635</f>
        <v>215</v>
      </c>
    </row>
    <row r="636" customFormat="false" ht="15" hidden="false" customHeight="false" outlineLevel="0" collapsed="false">
      <c r="A636" s="62" t="n">
        <v>46289</v>
      </c>
      <c r="B636" s="63" t="n">
        <v>3640</v>
      </c>
      <c r="C636" s="63" t="n">
        <v>0</v>
      </c>
      <c r="D636" s="63" t="n">
        <v>0</v>
      </c>
      <c r="E636" s="63" t="n">
        <v>5424</v>
      </c>
      <c r="F636" s="43" t="n">
        <f aca="false">SUM(B636:E636)</f>
        <v>9064</v>
      </c>
      <c r="G636" s="60" t="n">
        <f aca="false">DATE(YEAR(A636),MONTH(A636),1)</f>
        <v>46266</v>
      </c>
      <c r="H636" s="63" t="n">
        <v>0</v>
      </c>
      <c r="I636" s="63" t="n">
        <v>307</v>
      </c>
      <c r="J636" s="43" t="n">
        <f aca="false">H636+I636</f>
        <v>307</v>
      </c>
    </row>
    <row r="637" customFormat="false" ht="15" hidden="false" customHeight="false" outlineLevel="0" collapsed="false">
      <c r="A637" s="62" t="n">
        <v>46290</v>
      </c>
      <c r="B637" s="63" t="n">
        <v>7361</v>
      </c>
      <c r="C637" s="63" t="n">
        <v>0</v>
      </c>
      <c r="D637" s="63" t="n">
        <v>0</v>
      </c>
      <c r="E637" s="63" t="n">
        <v>8</v>
      </c>
      <c r="F637" s="43" t="n">
        <f aca="false">SUM(B637:E637)</f>
        <v>7369</v>
      </c>
      <c r="G637" s="60" t="n">
        <f aca="false">DATE(YEAR(A637),MONTH(A637),1)</f>
        <v>46266</v>
      </c>
      <c r="H637" s="63" t="n">
        <v>0</v>
      </c>
      <c r="I637" s="63" t="n">
        <v>163</v>
      </c>
      <c r="J637" s="43" t="n">
        <f aca="false">H637+I637</f>
        <v>163</v>
      </c>
    </row>
    <row r="638" customFormat="false" ht="15" hidden="false" customHeight="false" outlineLevel="0" collapsed="false">
      <c r="A638" s="62" t="n">
        <v>46291</v>
      </c>
      <c r="B638" s="63" t="n">
        <v>39</v>
      </c>
      <c r="C638" s="63" t="n">
        <v>0</v>
      </c>
      <c r="D638" s="63" t="n">
        <v>0</v>
      </c>
      <c r="E638" s="63" t="n">
        <v>7</v>
      </c>
      <c r="F638" s="43" t="n">
        <f aca="false">SUM(B638:E638)</f>
        <v>46</v>
      </c>
      <c r="G638" s="60" t="n">
        <f aca="false">DATE(YEAR(A638),MONTH(A638),1)</f>
        <v>46266</v>
      </c>
      <c r="H638" s="63" t="n">
        <v>0</v>
      </c>
      <c r="I638" s="63" t="n">
        <v>58</v>
      </c>
      <c r="J638" s="43" t="n">
        <f aca="false">H638+I638</f>
        <v>58</v>
      </c>
    </row>
    <row r="639" customFormat="false" ht="15" hidden="false" customHeight="false" outlineLevel="0" collapsed="false">
      <c r="A639" s="62" t="n">
        <v>46292</v>
      </c>
      <c r="B639" s="63" t="n">
        <v>25</v>
      </c>
      <c r="C639" s="63" t="n">
        <v>0</v>
      </c>
      <c r="D639" s="63" t="n">
        <v>0</v>
      </c>
      <c r="E639" s="63" t="n">
        <v>1360</v>
      </c>
      <c r="F639" s="43" t="n">
        <f aca="false">SUM(B639:E639)</f>
        <v>1385</v>
      </c>
      <c r="G639" s="60" t="n">
        <f aca="false">DATE(YEAR(A639),MONTH(A639),1)</f>
        <v>46266</v>
      </c>
      <c r="H639" s="63" t="n">
        <v>0</v>
      </c>
      <c r="I639" s="63" t="n">
        <v>91</v>
      </c>
      <c r="J639" s="43" t="n">
        <f aca="false">H639+I639</f>
        <v>91</v>
      </c>
    </row>
    <row r="640" customFormat="false" ht="15" hidden="false" customHeight="false" outlineLevel="0" collapsed="false">
      <c r="A640" s="62" t="n">
        <v>46293</v>
      </c>
      <c r="B640" s="63" t="n">
        <v>30461</v>
      </c>
      <c r="C640" s="63" t="n">
        <v>0</v>
      </c>
      <c r="D640" s="63" t="n">
        <v>0</v>
      </c>
      <c r="E640" s="63" t="n">
        <v>8</v>
      </c>
      <c r="F640" s="43" t="n">
        <f aca="false">SUM(B640:E640)</f>
        <v>30469</v>
      </c>
      <c r="G640" s="60" t="n">
        <f aca="false">DATE(YEAR(A640),MONTH(A640),1)</f>
        <v>46266</v>
      </c>
      <c r="H640" s="63" t="n">
        <v>0</v>
      </c>
      <c r="I640" s="63" t="n">
        <v>683</v>
      </c>
      <c r="J640" s="43" t="n">
        <f aca="false">H640+I640</f>
        <v>683</v>
      </c>
    </row>
    <row r="641" customFormat="false" ht="15" hidden="false" customHeight="false" outlineLevel="0" collapsed="false">
      <c r="A641" s="62" t="n">
        <v>46294</v>
      </c>
      <c r="B641" s="63" t="n">
        <v>203</v>
      </c>
      <c r="C641" s="63" t="n">
        <v>0</v>
      </c>
      <c r="D641" s="63" t="n">
        <v>0</v>
      </c>
      <c r="E641" s="63" t="n">
        <v>5</v>
      </c>
      <c r="F641" s="43" t="n">
        <f aca="false">SUM(B641:E641)</f>
        <v>208</v>
      </c>
      <c r="G641" s="60" t="n">
        <f aca="false">DATE(YEAR(A641),MONTH(A641),1)</f>
        <v>46266</v>
      </c>
      <c r="H641" s="63" t="n">
        <v>0</v>
      </c>
      <c r="I641" s="63" t="n">
        <v>57</v>
      </c>
      <c r="J641" s="43" t="n">
        <f aca="false">H641+I641</f>
        <v>57</v>
      </c>
    </row>
    <row r="642" customFormat="false" ht="15" hidden="false" customHeight="false" outlineLevel="0" collapsed="false">
      <c r="A642" s="62" t="n">
        <v>46295</v>
      </c>
      <c r="B642" s="63" t="n">
        <v>43</v>
      </c>
      <c r="C642" s="63" t="n">
        <v>0</v>
      </c>
      <c r="D642" s="63" t="n">
        <v>0</v>
      </c>
      <c r="E642" s="63" t="n">
        <v>3</v>
      </c>
      <c r="F642" s="43" t="n">
        <f aca="false">SUM(B642:E642)</f>
        <v>46</v>
      </c>
      <c r="G642" s="60" t="n">
        <f aca="false">DATE(YEAR(A642),MONTH(A642),1)</f>
        <v>46266</v>
      </c>
      <c r="H642" s="63" t="n">
        <v>0</v>
      </c>
      <c r="I642" s="63" t="n">
        <v>48</v>
      </c>
      <c r="J642" s="43" t="n">
        <f aca="false">H642+I642</f>
        <v>48</v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2026-10-07T14:38:51Z</dcterms:created>
  <dc:creator>openpyxl</dc:creator>
  <dc:description/>
  <dc:language>en-US</dc:language>
  <cp:lastModifiedBy/>
  <dcterms:modified xsi:type="dcterms:W3CDTF">2026-10-19T08:34:08Z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