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nascimento\Downloads\calendario-eventos-source\calendario-eventos-source\"/>
    </mc:Choice>
  </mc:AlternateContent>
  <xr:revisionPtr revIDLastSave="0" documentId="13_ncr:1_{60A475D7-DF98-4BC1-B849-97EAD3AF927C}" xr6:coauthVersionLast="47" xr6:coauthVersionMax="47" xr10:uidLastSave="{00000000-0000-0000-0000-000000000000}"/>
  <bookViews>
    <workbookView xWindow="15915" yWindow="-16395" windowWidth="14400" windowHeight="8175" xr2:uid="{82C592FF-D585-4A62-A530-C06149466008}"/>
  </bookViews>
  <sheets>
    <sheet name="Resumo" sheetId="1" r:id="rId1"/>
    <sheet name="Fatura" sheetId="2" r:id="rId2"/>
    <sheet name="Resultados por açã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D23" i="2"/>
  <c r="B8" i="1"/>
  <c r="B7" i="1"/>
  <c r="B6" i="1"/>
  <c r="B5" i="1"/>
  <c r="C27" i="2"/>
  <c r="D27" i="2" s="1"/>
  <c r="C26" i="2"/>
  <c r="C25" i="2"/>
  <c r="B24" i="2"/>
  <c r="C24" i="2"/>
  <c r="B23" i="2"/>
  <c r="C23" i="2"/>
  <c r="D18" i="2"/>
  <c r="E18" i="2"/>
  <c r="B17" i="2"/>
  <c r="D17" i="2"/>
  <c r="D16" i="2"/>
  <c r="D15" i="2"/>
  <c r="B11" i="2"/>
  <c r="C11" i="2" s="1"/>
  <c r="B9" i="2"/>
  <c r="F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B19" i="4" l="1"/>
  <c r="C19" i="4"/>
  <c r="D19" i="4"/>
  <c r="G5" i="4"/>
  <c r="E19" i="4"/>
  <c r="G19" i="4" s="1"/>
</calcChain>
</file>

<file path=xl/sharedStrings.xml><?xml version="1.0" encoding="utf-8"?>
<sst xmlns="http://schemas.openxmlformats.org/spreadsheetml/2006/main" count="112" uniqueCount="90">
  <si>
    <t>Resultados e ROAS por ação (setembro/2026)</t>
  </si>
  <si>
    <t>Ação / evento</t>
  </si>
  <si>
    <t>Campanhas</t>
  </si>
  <si>
    <t>Enviadas</t>
  </si>
  <si>
    <t>Entregues</t>
  </si>
  <si>
    <t>Custo (R$)</t>
  </si>
  <si>
    <t>Receita (R$)</t>
  </si>
  <si>
    <t>ROAS</t>
  </si>
  <si>
    <t>Situação</t>
  </si>
  <si>
    <t>Q&amp;A - Carreira de Conselho</t>
  </si>
  <si>
    <t>Receita informada</t>
  </si>
  <si>
    <t>Base de Deals abertos</t>
  </si>
  <si>
    <t>Q&amp;A - Conselho Empresarial da Saúde</t>
  </si>
  <si>
    <t>Workshop - Pré Conselho</t>
  </si>
  <si>
    <t>Workshop - Governança Ágil</t>
  </si>
  <si>
    <t>Sem vendas</t>
  </si>
  <si>
    <t>Workshop - Advisor Program</t>
  </si>
  <si>
    <t>Workshop - Conselho Empresarial da Saúde</t>
  </si>
  <si>
    <t>Workshop Panorama do Mercado de Conselheiros</t>
  </si>
  <si>
    <t>Apoio Marketing</t>
  </si>
  <si>
    <t>WORKSHOP BOARD SELECT: Onde os Conselheiros se Encontram para Evoluir</t>
  </si>
  <si>
    <t>Board Sprint</t>
  </si>
  <si>
    <t>Consumidor 1309</t>
  </si>
  <si>
    <t>HBC 1009</t>
  </si>
  <si>
    <t>Coautoria 0709</t>
  </si>
  <si>
    <t>TOTAL</t>
  </si>
  <si>
    <t>Ações marcadas "Sem vendas" não tiveram vendas (R$ 0, ROAS 0x). Número e valor de vendas por campanha não constam na fonte.</t>
  </si>
  <si>
    <t>Observação</t>
  </si>
  <si>
    <t>Fatura 886000007603: composição e conciliação (setembro/2026)</t>
  </si>
  <si>
    <t>1. Composição da fatura</t>
  </si>
  <si>
    <t>Valor (R$)</t>
  </si>
  <si>
    <t>Plano Contratado (BUSINESSMAU)</t>
  </si>
  <si>
    <t>Custo fixo</t>
  </si>
  <si>
    <t>Canal WhatsApp</t>
  </si>
  <si>
    <t>Consumo de mensagens (seção 2)</t>
  </si>
  <si>
    <t>Número Adicional</t>
  </si>
  <si>
    <t>Contratações Adicionais</t>
  </si>
  <si>
    <t>Cobrança adicional</t>
  </si>
  <si>
    <t>Total da fatura</t>
  </si>
  <si>
    <t>Total a pagar (boleto)</t>
  </si>
  <si>
    <t>Boleto nº 0010058580, vencimento 25/11/2026</t>
  </si>
  <si>
    <t>Diferença</t>
  </si>
  <si>
    <t>A fatura não traz taxas separadas.</t>
  </si>
  <si>
    <t>2. Canal WhatsApp por categoria</t>
  </si>
  <si>
    <t>Mensagens entregues</t>
  </si>
  <si>
    <t>Tarifa (R$)</t>
  </si>
  <si>
    <t>Utilidade</t>
  </si>
  <si>
    <t>Marketing Lite</t>
  </si>
  <si>
    <t>Total</t>
  </si>
  <si>
    <t>Diferença vs Canal WhatsApp da fatura</t>
  </si>
  <si>
    <t>3. Custo por campanha vs fatura</t>
  </si>
  <si>
    <t>Utilidade (campanhas)</t>
  </si>
  <si>
    <t>Marketing Lite (campanhas)</t>
  </si>
  <si>
    <t>Custo das campanhas</t>
  </si>
  <si>
    <t>Consumo cobrado sem campanha no relatório</t>
  </si>
  <si>
    <t>Diferença de 0,4% entre o consumo cobrado e o relatório de campanhas</t>
  </si>
  <si>
    <t>Custos fixos e adicionais (plano, número, contratações)</t>
  </si>
  <si>
    <t>Não se atribuem a campanhas</t>
  </si>
  <si>
    <t>Total (campanhas + diferença + fixos)</t>
  </si>
  <si>
    <t>Diferença vs total a pagar</t>
  </si>
  <si>
    <t>Relatório de disparos Blip: setembro/2026</t>
  </si>
  <si>
    <t>Fatura 886000007603 e campanhas de 01 a 30/09/2026</t>
  </si>
  <si>
    <t>Indicador</t>
  </si>
  <si>
    <t>Valor</t>
  </si>
  <si>
    <t>Total a pagar da fatura</t>
  </si>
  <si>
    <t>Conciliado com os itens da fatura. Vencimento 25/11/2026</t>
  </si>
  <si>
    <t xml:space="preserve">  Plano contratado</t>
  </si>
  <si>
    <t xml:space="preserve">  Canal WhatsApp (mensagens)</t>
  </si>
  <si>
    <t>Consumo; tarifas confirmadas (R$ 0,09 Utilidade, R$ 0,54 Marketing Lite)</t>
  </si>
  <si>
    <t xml:space="preserve">  Número adicional e contratações adicionais</t>
  </si>
  <si>
    <t>Custos fixos e adicionais</t>
  </si>
  <si>
    <t>Campanhas no período</t>
  </si>
  <si>
    <t>Mensagens enviadas</t>
  </si>
  <si>
    <t>Custo das campanhas (mensagens)</t>
  </si>
  <si>
    <t>Entregues x tarifa da fatura</t>
  </si>
  <si>
    <t>Receita atribuída</t>
  </si>
  <si>
    <t>ROAS (receita / custo das campanhas)</t>
  </si>
  <si>
    <t>ROAS sobre o total da fatura</t>
  </si>
  <si>
    <t>Inclui plano e adicionais no custo</t>
  </si>
  <si>
    <t>Não disponível nas fontes</t>
  </si>
  <si>
    <t>Detalhe</t>
  </si>
  <si>
    <t>Quantidade de vendas</t>
  </si>
  <si>
    <t>Não informada</t>
  </si>
  <si>
    <t>Só há valor de vendas por ação</t>
  </si>
  <si>
    <t>Ações sem vendas</t>
  </si>
  <si>
    <t>3 ações</t>
  </si>
  <si>
    <t>Governança Ágil, Conselho Empresarial da Saúde (Workshop) e Apoio Marketing: R$ 0, ROAS 0x</t>
  </si>
  <si>
    <t>Receita = vendas realizadas informadas por ação no consolidado de disparos. Custo = entregues x tarifa da fatura (R$ 0,09 Utilidade; R$ 0,54 Marketing Lite). ROAS = receita / custo de mensagens.</t>
  </si>
  <si>
    <t>Aba Resultados por ação</t>
  </si>
  <si>
    <t>Valor de vendas informado por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</si>
</sst>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&quot;x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1" fillId="4" borderId="0" xfId="0" applyFont="1" applyFill="1"/>
    <xf numFmtId="3" fontId="0" fillId="0" borderId="0" xfId="0" applyNumberFormat="1"/>
    <xf numFmtId="3" fontId="1" fillId="4" borderId="0" xfId="0" applyNumberFormat="1" applyFont="1" applyFill="1"/>
    <xf numFmtId="164" fontId="0" fillId="0" borderId="0" xfId="0" applyNumberFormat="1"/>
    <xf numFmtId="164" fontId="0" fillId="3" borderId="0" xfId="0" applyNumberFormat="1" applyFill="1"/>
    <xf numFmtId="164" fontId="1" fillId="4" borderId="0" xfId="0" applyNumberFormat="1" applyFont="1" applyFill="1"/>
    <xf numFmtId="165" fontId="0" fillId="0" borderId="0" xfId="0" applyNumberFormat="1"/>
    <xf numFmtId="165" fontId="1" fillId="4" borderId="0" xfId="0" applyNumberFormat="1" applyFont="1" applyFill="1"/>
    <xf numFmtId="3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164" fontId="1" fillId="3" borderId="0" xfId="0" applyNumberFormat="1" applyFont="1" applyFill="1"/>
    <xf numFmtId="0" fontId="0" fillId="5" borderId="0" xfId="0" applyFill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B014-11E0-4EF0-A142-455587F01B2F}">
  <dimension ref="A1:C19"/>
  <sheetViews>
    <sheetView showGridLines="0" tabSelected="1" workbookViewId="0"/>
  </sheetViews>
  <sheetFormatPr defaultRowHeight="14.5" x14ac:dyDescent="0.35"/>
  <cols>
    <col min="1" max="1" width="50.6328125" customWidth="1"/>
    <col min="2" max="2" width="20.6328125" customWidth="1"/>
    <col min="3" max="3" width="85.6328125" customWidth="1"/>
  </cols>
  <sheetData>
    <row r="1" spans="1:3" ht="18.5" x14ac:dyDescent="0.45">
      <c r="A1" s="1" t="s">
        <v>60</v>
      </c>
    </row>
    <row r="2" spans="1:3" x14ac:dyDescent="0.35">
      <c r="A2" s="14" t="s">
        <v>61</v>
      </c>
    </row>
    <row r="4" spans="1:3" x14ac:dyDescent="0.35">
      <c r="A4" s="3" t="s">
        <v>62</v>
      </c>
      <c r="B4" s="3" t="s">
        <v>63</v>
      </c>
      <c r="C4" s="3" t="s">
        <v>27</v>
      </c>
    </row>
    <row r="5" spans="1:3" x14ac:dyDescent="0.35">
      <c r="A5" s="2" t="s">
        <v>64</v>
      </c>
      <c r="B5" s="20">
        <f>Fatura!B10</f>
        <v>70032.92</v>
      </c>
      <c r="C5" s="2" t="s">
        <v>65</v>
      </c>
    </row>
    <row r="6" spans="1:3" x14ac:dyDescent="0.35">
      <c r="A6" t="s">
        <v>66</v>
      </c>
      <c r="B6" s="17">
        <f>Fatura!B5</f>
        <v>16479.95</v>
      </c>
      <c r="C6" t="s">
        <v>32</v>
      </c>
    </row>
    <row r="7" spans="1:3" x14ac:dyDescent="0.35">
      <c r="A7" t="s">
        <v>67</v>
      </c>
      <c r="B7" s="17">
        <f>Fatura!B6</f>
        <v>52823.97</v>
      </c>
      <c r="C7" t="s">
        <v>68</v>
      </c>
    </row>
    <row r="8" spans="1:3" x14ac:dyDescent="0.35">
      <c r="A8" t="s">
        <v>69</v>
      </c>
      <c r="B8" s="17">
        <f>Fatura!B7+Fatura!B8</f>
        <v>729</v>
      </c>
      <c r="C8" t="s">
        <v>70</v>
      </c>
    </row>
    <row r="9" spans="1:3" x14ac:dyDescent="0.35">
      <c r="A9" t="s">
        <v>71</v>
      </c>
      <c r="B9" s="18">
        <f>'Resultados por ação'!B19</f>
        <v>176</v>
      </c>
      <c r="C9" t="s">
        <v>88</v>
      </c>
    </row>
    <row r="10" spans="1:3" x14ac:dyDescent="0.35">
      <c r="A10" t="s">
        <v>72</v>
      </c>
      <c r="B10" s="18">
        <f>'Resultados por ação'!C19</f>
        <v>329009</v>
      </c>
    </row>
    <row r="11" spans="1:3" x14ac:dyDescent="0.35">
      <c r="A11" t="s">
        <v>44</v>
      </c>
      <c r="B11" s="18">
        <f>'Resultados por ação'!D19</f>
        <v>239242</v>
      </c>
    </row>
    <row r="12" spans="1:3" x14ac:dyDescent="0.35">
      <c r="A12" t="s">
        <v>73</v>
      </c>
      <c r="B12" s="17">
        <f>'Resultados por ação'!E19</f>
        <v>52604.280000000006</v>
      </c>
      <c r="C12" t="s">
        <v>74</v>
      </c>
    </row>
    <row r="13" spans="1:3" x14ac:dyDescent="0.35">
      <c r="A13" t="s">
        <v>75</v>
      </c>
      <c r="B13" s="17">
        <f>'Resultados por ação'!F19</f>
        <v>887405</v>
      </c>
      <c r="C13" t="s">
        <v>89</v>
      </c>
    </row>
    <row r="14" spans="1:3" x14ac:dyDescent="0.35">
      <c r="A14" t="s">
        <v>76</v>
      </c>
      <c r="B14" s="19">
        <f>'Resultados por ação'!G19</f>
        <v>16.869444843651504</v>
      </c>
    </row>
    <row r="15" spans="1:3" x14ac:dyDescent="0.35">
      <c r="A15" t="s">
        <v>77</v>
      </c>
      <c r="B15" s="19">
        <f>'Resultados por ação'!F19/Fatura!B10</f>
        <v>12.671255175423216</v>
      </c>
      <c r="C15" t="s">
        <v>78</v>
      </c>
    </row>
    <row r="17" spans="1:3" x14ac:dyDescent="0.35">
      <c r="A17" s="3" t="s">
        <v>79</v>
      </c>
      <c r="B17" s="3" t="s">
        <v>8</v>
      </c>
      <c r="C17" s="3" t="s">
        <v>80</v>
      </c>
    </row>
    <row r="18" spans="1:3" x14ac:dyDescent="0.35">
      <c r="A18" t="s">
        <v>81</v>
      </c>
      <c r="B18" s="16" t="s">
        <v>82</v>
      </c>
      <c r="C18" t="s">
        <v>83</v>
      </c>
    </row>
    <row r="19" spans="1:3" x14ac:dyDescent="0.35">
      <c r="A19" t="s">
        <v>84</v>
      </c>
      <c r="B19" s="16" t="s">
        <v>85</v>
      </c>
      <c r="C19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33BB-1A57-4BA7-9AB1-C5A9B3C09870}">
  <dimension ref="A1:E27"/>
  <sheetViews>
    <sheetView showGridLines="0" workbookViewId="0"/>
  </sheetViews>
  <sheetFormatPr defaultRowHeight="14.5" x14ac:dyDescent="0.35"/>
  <cols>
    <col min="1" max="1" width="52.6328125" customWidth="1"/>
    <col min="2" max="4" width="20.6328125" customWidth="1"/>
    <col min="5" max="5" width="34.6328125" customWidth="1"/>
  </cols>
  <sheetData>
    <row r="1" spans="1:5" ht="18.5" x14ac:dyDescent="0.45">
      <c r="A1" s="1" t="s">
        <v>28</v>
      </c>
    </row>
    <row r="4" spans="1:5" x14ac:dyDescent="0.35">
      <c r="A4" s="3" t="s">
        <v>29</v>
      </c>
      <c r="B4" s="3" t="s">
        <v>30</v>
      </c>
      <c r="C4" s="3" t="s">
        <v>27</v>
      </c>
    </row>
    <row r="5" spans="1:5" x14ac:dyDescent="0.35">
      <c r="A5" t="s">
        <v>31</v>
      </c>
      <c r="B5" s="8">
        <v>16479.95</v>
      </c>
      <c r="C5" t="s">
        <v>32</v>
      </c>
    </row>
    <row r="6" spans="1:5" x14ac:dyDescent="0.35">
      <c r="A6" t="s">
        <v>33</v>
      </c>
      <c r="B6" s="8">
        <v>52823.97</v>
      </c>
      <c r="C6" t="s">
        <v>34</v>
      </c>
    </row>
    <row r="7" spans="1:5" x14ac:dyDescent="0.35">
      <c r="A7" t="s">
        <v>35</v>
      </c>
      <c r="B7" s="8">
        <v>500</v>
      </c>
      <c r="C7" t="s">
        <v>32</v>
      </c>
    </row>
    <row r="8" spans="1:5" x14ac:dyDescent="0.35">
      <c r="A8" t="s">
        <v>36</v>
      </c>
      <c r="B8" s="8">
        <v>229</v>
      </c>
      <c r="C8" t="s">
        <v>37</v>
      </c>
    </row>
    <row r="9" spans="1:5" x14ac:dyDescent="0.35">
      <c r="A9" s="2" t="s">
        <v>38</v>
      </c>
      <c r="B9" s="13">
        <f>SUM(B5:B8)</f>
        <v>70032.92</v>
      </c>
      <c r="C9" s="2"/>
    </row>
    <row r="10" spans="1:5" x14ac:dyDescent="0.35">
      <c r="A10" s="2" t="s">
        <v>39</v>
      </c>
      <c r="B10" s="15">
        <v>70032.92</v>
      </c>
      <c r="C10" s="2" t="s">
        <v>40</v>
      </c>
    </row>
    <row r="11" spans="1:5" x14ac:dyDescent="0.35">
      <c r="A11" t="s">
        <v>41</v>
      </c>
      <c r="B11" s="7">
        <f>B9-B10</f>
        <v>0</v>
      </c>
      <c r="C11" t="str">
        <f>IF(ROUND(B11,2)=0,"Conciliado","Divergência")</f>
        <v>Conciliado</v>
      </c>
    </row>
    <row r="12" spans="1:5" x14ac:dyDescent="0.35">
      <c r="A12" s="14" t="s">
        <v>42</v>
      </c>
    </row>
    <row r="14" spans="1:5" x14ac:dyDescent="0.35">
      <c r="A14" s="3" t="s">
        <v>43</v>
      </c>
      <c r="B14" s="3" t="s">
        <v>44</v>
      </c>
      <c r="C14" s="3" t="s">
        <v>45</v>
      </c>
      <c r="D14" s="3" t="s">
        <v>30</v>
      </c>
      <c r="E14" s="3" t="s">
        <v>8</v>
      </c>
    </row>
    <row r="15" spans="1:5" x14ac:dyDescent="0.35">
      <c r="A15" t="s">
        <v>46</v>
      </c>
      <c r="B15" s="5">
        <v>170749</v>
      </c>
      <c r="C15" s="7">
        <v>0.09</v>
      </c>
      <c r="D15" s="7">
        <f>B15*C15</f>
        <v>15367.41</v>
      </c>
    </row>
    <row r="16" spans="1:5" x14ac:dyDescent="0.35">
      <c r="A16" t="s">
        <v>47</v>
      </c>
      <c r="B16" s="5">
        <v>69364</v>
      </c>
      <c r="C16" s="7">
        <v>0.54</v>
      </c>
      <c r="D16" s="7">
        <f>B16*C16</f>
        <v>37456.560000000005</v>
      </c>
    </row>
    <row r="17" spans="1:5" x14ac:dyDescent="0.35">
      <c r="A17" s="2" t="s">
        <v>48</v>
      </c>
      <c r="B17" s="12">
        <f>SUM(B15:B16)</f>
        <v>240113</v>
      </c>
      <c r="C17" s="13"/>
      <c r="D17" s="13">
        <f>SUM(D15:D16)</f>
        <v>52823.97</v>
      </c>
      <c r="E17" s="2"/>
    </row>
    <row r="18" spans="1:5" x14ac:dyDescent="0.35">
      <c r="A18" t="s">
        <v>49</v>
      </c>
      <c r="C18" s="7"/>
      <c r="D18" s="7">
        <f>D17-B6</f>
        <v>0</v>
      </c>
      <c r="E18" t="str">
        <f>IF(ROUND(D18,2)=0,"Conciliado: tarifas confirmadas","Divergência")</f>
        <v>Conciliado: tarifas confirmadas</v>
      </c>
    </row>
    <row r="20" spans="1:5" x14ac:dyDescent="0.35">
      <c r="A20" s="3" t="s">
        <v>50</v>
      </c>
      <c r="B20" s="3" t="s">
        <v>44</v>
      </c>
      <c r="C20" s="3" t="s">
        <v>5</v>
      </c>
      <c r="D20" s="3" t="s">
        <v>27</v>
      </c>
    </row>
    <row r="21" spans="1:5" x14ac:dyDescent="0.35">
      <c r="A21" t="s">
        <v>51</v>
      </c>
      <c r="B21" s="5">
        <v>170192</v>
      </c>
      <c r="C21" s="7">
        <v>15317.28</v>
      </c>
    </row>
    <row r="22" spans="1:5" x14ac:dyDescent="0.35">
      <c r="A22" t="s">
        <v>52</v>
      </c>
      <c r="B22" s="5">
        <v>69050</v>
      </c>
      <c r="C22" s="7">
        <v>37287</v>
      </c>
    </row>
    <row r="23" spans="1:5" x14ac:dyDescent="0.35">
      <c r="A23" s="2" t="s">
        <v>53</v>
      </c>
      <c r="B23" s="12">
        <f>SUM(B21:B22)</f>
        <v>239242</v>
      </c>
      <c r="C23" s="13">
        <f>SUM(C21:C22)</f>
        <v>52604.28</v>
      </c>
      <c r="D23" s="2" t="str">
        <f>IF(ROUND(C23-'Resultados por ação'!E19,2)=0,"Confere com a aba Resultados por ação","Divergência")</f>
        <v>Confere com a aba Resultados por ação</v>
      </c>
    </row>
    <row r="24" spans="1:5" x14ac:dyDescent="0.35">
      <c r="A24" t="s">
        <v>54</v>
      </c>
      <c r="B24" s="5">
        <f>B17-B23</f>
        <v>871</v>
      </c>
      <c r="C24" s="7">
        <f>D17-C23</f>
        <v>219.69000000000233</v>
      </c>
      <c r="D24" t="s">
        <v>55</v>
      </c>
    </row>
    <row r="25" spans="1:5" x14ac:dyDescent="0.35">
      <c r="A25" t="s">
        <v>56</v>
      </c>
      <c r="C25" s="7">
        <f>B5+B7+B8</f>
        <v>17208.95</v>
      </c>
      <c r="D25" t="s">
        <v>57</v>
      </c>
    </row>
    <row r="26" spans="1:5" x14ac:dyDescent="0.35">
      <c r="A26" s="2" t="s">
        <v>58</v>
      </c>
      <c r="B26" s="2"/>
      <c r="C26" s="13">
        <f>C23+C24+C25</f>
        <v>70032.92</v>
      </c>
      <c r="D26" s="2"/>
    </row>
    <row r="27" spans="1:5" x14ac:dyDescent="0.35">
      <c r="A27" t="s">
        <v>59</v>
      </c>
      <c r="C27" s="7">
        <f>C26-B10</f>
        <v>0</v>
      </c>
      <c r="D27" t="str">
        <f>IF(ROUND(C27,2)=0,"Conciliado","Divergência")</f>
        <v>Conciliado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EB44-EC00-471F-9F2F-2FA7EFC453E1}">
  <dimension ref="A1:H21"/>
  <sheetViews>
    <sheetView showGridLines="0" workbookViewId="0"/>
  </sheetViews>
  <sheetFormatPr defaultRowHeight="14.5" x14ac:dyDescent="0.35"/>
  <cols>
    <col min="1" max="1" width="62.6328125" customWidth="1"/>
    <col min="2" max="7" width="15.6328125" customWidth="1"/>
    <col min="8" max="8" width="20.6328125" customWidth="1"/>
  </cols>
  <sheetData>
    <row r="1" spans="1:8" ht="18.5" x14ac:dyDescent="0.45">
      <c r="A1" s="1" t="s">
        <v>0</v>
      </c>
    </row>
    <row r="2" spans="1:8" x14ac:dyDescent="0.35">
      <c r="A2" t="s">
        <v>87</v>
      </c>
    </row>
    <row r="4" spans="1:8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x14ac:dyDescent="0.35">
      <c r="A5" t="s">
        <v>9</v>
      </c>
      <c r="B5" s="5">
        <v>17</v>
      </c>
      <c r="C5" s="5">
        <v>36994</v>
      </c>
      <c r="D5" s="5">
        <v>28194</v>
      </c>
      <c r="E5" s="7">
        <v>2537.46</v>
      </c>
      <c r="F5" s="8">
        <v>80495</v>
      </c>
      <c r="G5" s="10">
        <f t="shared" ref="G5:G19" si="0">IFERROR(F5/E5,"")</f>
        <v>31.722667549439201</v>
      </c>
      <c r="H5" t="s">
        <v>10</v>
      </c>
    </row>
    <row r="6" spans="1:8" x14ac:dyDescent="0.35">
      <c r="A6" t="s">
        <v>11</v>
      </c>
      <c r="B6" s="5">
        <v>31</v>
      </c>
      <c r="C6" s="5">
        <v>47919</v>
      </c>
      <c r="D6" s="5">
        <v>32999</v>
      </c>
      <c r="E6" s="7">
        <v>16148.61</v>
      </c>
      <c r="F6" s="8">
        <v>286558</v>
      </c>
      <c r="G6" s="10">
        <f t="shared" si="0"/>
        <v>17.74505669528213</v>
      </c>
      <c r="H6" t="s">
        <v>10</v>
      </c>
    </row>
    <row r="7" spans="1:8" x14ac:dyDescent="0.35">
      <c r="A7" t="s">
        <v>12</v>
      </c>
      <c r="B7" s="5">
        <v>5</v>
      </c>
      <c r="C7" s="5">
        <v>11959</v>
      </c>
      <c r="D7" s="5">
        <v>9580</v>
      </c>
      <c r="E7" s="7">
        <v>862.2</v>
      </c>
      <c r="F7" s="8">
        <v>16397</v>
      </c>
      <c r="G7" s="10">
        <f t="shared" si="0"/>
        <v>19.017629320343307</v>
      </c>
      <c r="H7" t="s">
        <v>10</v>
      </c>
    </row>
    <row r="8" spans="1:8" x14ac:dyDescent="0.35">
      <c r="A8" t="s">
        <v>13</v>
      </c>
      <c r="B8" s="5">
        <v>14</v>
      </c>
      <c r="C8" s="5">
        <v>23986</v>
      </c>
      <c r="D8" s="5">
        <v>18419</v>
      </c>
      <c r="E8" s="7">
        <v>1866.96</v>
      </c>
      <c r="F8" s="8">
        <v>102363</v>
      </c>
      <c r="G8" s="10">
        <f t="shared" si="0"/>
        <v>54.82870548913742</v>
      </c>
      <c r="H8" t="s">
        <v>10</v>
      </c>
    </row>
    <row r="9" spans="1:8" x14ac:dyDescent="0.35">
      <c r="A9" t="s">
        <v>14</v>
      </c>
      <c r="B9" s="5">
        <v>13</v>
      </c>
      <c r="C9" s="5">
        <v>23168</v>
      </c>
      <c r="D9" s="5">
        <v>14903</v>
      </c>
      <c r="E9" s="7">
        <v>1341.27</v>
      </c>
      <c r="F9" s="8">
        <v>0</v>
      </c>
      <c r="G9" s="10">
        <f t="shared" si="0"/>
        <v>0</v>
      </c>
      <c r="H9" t="s">
        <v>15</v>
      </c>
    </row>
    <row r="10" spans="1:8" x14ac:dyDescent="0.35">
      <c r="A10" t="s">
        <v>16</v>
      </c>
      <c r="B10" s="5">
        <v>60</v>
      </c>
      <c r="C10" s="5">
        <v>119538</v>
      </c>
      <c r="D10" s="5">
        <v>87045</v>
      </c>
      <c r="E10" s="7">
        <v>10528.65</v>
      </c>
      <c r="F10" s="8">
        <v>37442</v>
      </c>
      <c r="G10" s="10">
        <f t="shared" si="0"/>
        <v>3.5562014123368146</v>
      </c>
      <c r="H10" t="s">
        <v>10</v>
      </c>
    </row>
    <row r="11" spans="1:8" x14ac:dyDescent="0.35">
      <c r="A11" t="s">
        <v>17</v>
      </c>
      <c r="B11" s="5">
        <v>6</v>
      </c>
      <c r="C11" s="5">
        <v>11363</v>
      </c>
      <c r="D11" s="5">
        <v>7521</v>
      </c>
      <c r="E11" s="7">
        <v>2828.79</v>
      </c>
      <c r="F11" s="8">
        <v>0</v>
      </c>
      <c r="G11" s="10">
        <f t="shared" si="0"/>
        <v>0</v>
      </c>
      <c r="H11" t="s">
        <v>15</v>
      </c>
    </row>
    <row r="12" spans="1:8" x14ac:dyDescent="0.35">
      <c r="A12" t="s">
        <v>18</v>
      </c>
      <c r="B12" s="5">
        <v>15</v>
      </c>
      <c r="C12" s="5">
        <v>27905</v>
      </c>
      <c r="D12" s="5">
        <v>20313</v>
      </c>
      <c r="E12" s="7">
        <v>7931.52</v>
      </c>
      <c r="F12" s="8">
        <v>27387</v>
      </c>
      <c r="G12" s="10">
        <f t="shared" si="0"/>
        <v>3.4529320987654319</v>
      </c>
      <c r="H12" t="s">
        <v>10</v>
      </c>
    </row>
    <row r="13" spans="1:8" x14ac:dyDescent="0.35">
      <c r="A13" t="s">
        <v>19</v>
      </c>
      <c r="B13" s="5">
        <v>1</v>
      </c>
      <c r="C13" s="5">
        <v>2914</v>
      </c>
      <c r="D13" s="5">
        <v>2022</v>
      </c>
      <c r="E13" s="7">
        <v>1091.8800000000001</v>
      </c>
      <c r="F13" s="8">
        <v>0</v>
      </c>
      <c r="G13" s="10">
        <f t="shared" si="0"/>
        <v>0</v>
      </c>
      <c r="H13" t="s">
        <v>15</v>
      </c>
    </row>
    <row r="14" spans="1:8" x14ac:dyDescent="0.35">
      <c r="A14" t="s">
        <v>20</v>
      </c>
      <c r="B14" s="5">
        <v>5</v>
      </c>
      <c r="C14" s="5">
        <v>7173</v>
      </c>
      <c r="D14" s="5">
        <v>5125</v>
      </c>
      <c r="E14" s="7">
        <v>2767.5</v>
      </c>
      <c r="F14" s="8">
        <v>27350</v>
      </c>
      <c r="G14" s="10">
        <f t="shared" si="0"/>
        <v>9.8825654923215893</v>
      </c>
      <c r="H14" t="s">
        <v>10</v>
      </c>
    </row>
    <row r="15" spans="1:8" x14ac:dyDescent="0.35">
      <c r="A15" t="s">
        <v>21</v>
      </c>
      <c r="B15" s="5">
        <v>5</v>
      </c>
      <c r="C15" s="5">
        <v>8028</v>
      </c>
      <c r="D15" s="5">
        <v>6661</v>
      </c>
      <c r="E15" s="7">
        <v>1211.04</v>
      </c>
      <c r="F15" s="8">
        <v>47973</v>
      </c>
      <c r="G15" s="10">
        <f t="shared" si="0"/>
        <v>39.613059849385657</v>
      </c>
      <c r="H15" t="s">
        <v>10</v>
      </c>
    </row>
    <row r="16" spans="1:8" x14ac:dyDescent="0.35">
      <c r="A16" t="s">
        <v>22</v>
      </c>
      <c r="B16" s="5">
        <v>2</v>
      </c>
      <c r="C16" s="5">
        <v>2342</v>
      </c>
      <c r="D16" s="5">
        <v>1870</v>
      </c>
      <c r="E16" s="7">
        <v>1009.8</v>
      </c>
      <c r="F16" s="8">
        <v>48000</v>
      </c>
      <c r="G16" s="10">
        <f t="shared" si="0"/>
        <v>47.534165181224004</v>
      </c>
      <c r="H16" t="s">
        <v>10</v>
      </c>
    </row>
    <row r="17" spans="1:8" x14ac:dyDescent="0.35">
      <c r="A17" t="s">
        <v>23</v>
      </c>
      <c r="B17" s="5">
        <v>1</v>
      </c>
      <c r="C17" s="5">
        <v>409</v>
      </c>
      <c r="D17" s="5">
        <v>324</v>
      </c>
      <c r="E17" s="7">
        <v>174.96</v>
      </c>
      <c r="F17" s="8">
        <v>22682</v>
      </c>
      <c r="G17" s="10">
        <f t="shared" si="0"/>
        <v>129.64106081390031</v>
      </c>
      <c r="H17" t="s">
        <v>10</v>
      </c>
    </row>
    <row r="18" spans="1:8" x14ac:dyDescent="0.35">
      <c r="A18" t="s">
        <v>24</v>
      </c>
      <c r="B18" s="5">
        <v>1</v>
      </c>
      <c r="C18" s="5">
        <v>5311</v>
      </c>
      <c r="D18" s="5">
        <v>4266</v>
      </c>
      <c r="E18" s="7">
        <v>2303.64</v>
      </c>
      <c r="F18" s="8">
        <v>190758</v>
      </c>
      <c r="G18" s="10">
        <f t="shared" si="0"/>
        <v>82.807209459811432</v>
      </c>
      <c r="H18" t="s">
        <v>10</v>
      </c>
    </row>
    <row r="19" spans="1:8" x14ac:dyDescent="0.35">
      <c r="A19" s="4" t="s">
        <v>25</v>
      </c>
      <c r="B19" s="6">
        <f>SUM(B5:B18)</f>
        <v>176</v>
      </c>
      <c r="C19" s="6">
        <f>SUM(C5:C18)</f>
        <v>329009</v>
      </c>
      <c r="D19" s="6">
        <f>SUM(D5:D18)</f>
        <v>239242</v>
      </c>
      <c r="E19" s="9">
        <f>SUM(E5:E18)</f>
        <v>52604.280000000006</v>
      </c>
      <c r="F19" s="9">
        <f>SUM(F5:F18)</f>
        <v>887405</v>
      </c>
      <c r="G19" s="11">
        <f t="shared" si="0"/>
        <v>16.869444843651504</v>
      </c>
      <c r="H19" s="4"/>
    </row>
    <row r="21" spans="1:8" x14ac:dyDescent="0.35">
      <c r="A2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Fatura</vt:lpstr>
      <vt:lpstr>Resultados por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Nascimento</dc:creator>
  <cp:lastModifiedBy>Bruno Nascimento</cp:lastModifiedBy>
  <dcterms:created xsi:type="dcterms:W3CDTF">2026-10-20T23:51:18Z</dcterms:created>
  <dcterms:modified xsi:type="dcterms:W3CDTF">2026-10-20T23:58:54Z</dcterms:modified>
</cp:coreProperties>
</file>