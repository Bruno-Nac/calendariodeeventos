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remissas" sheetId="1" state="visible" r:id="rId3"/>
    <sheet name="Diário" sheetId="2" state="visible" r:id="rId4"/>
    <sheet name="Semanal" sheetId="3" state="visible" r:id="rId5"/>
    <sheet name="Mensal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<sst xmlns="http://schemas.openxmlformats.org/spreadsheetml/2006/main" count="62" uniqueCount="41">
  <si>
    <t xml:space="preserve">Relatório de custo de mensagens Blip</t>
  </si>
  <si>
    <t xml:space="preserve">Categoria</t>
  </si>
  <si>
    <t xml:space="preserve">Tarifa por mensagem entregue (R$)</t>
  </si>
  <si>
    <t xml:space="preserve">Utilidade</t>
  </si>
  <si>
    <t xml:space="preserve">Marketing Lite</t>
  </si>
  <si>
    <t xml:space="preserve">Marketing</t>
  </si>
  <si>
    <t xml:space="preserve">Autenticação</t>
  </si>
  <si>
    <t xml:space="preserve">Início da 1ª semana</t>
  </si>
  <si>
    <t xml:space="preserve">Fim da 1ª semana</t>
  </si>
  <si>
    <t xml:space="preserve">Contatos de disparo</t>
  </si>
  <si>
    <t xml:space="preserve">Contato</t>
  </si>
  <si>
    <t xml:space="preserve">Disparos entregues</t>
  </si>
  <si>
    <t xml:space="preserve">% do total</t>
  </si>
  <si>
    <t xml:space="preserve">Serviço</t>
  </si>
  <si>
    <t xml:space="preserve">+55 11 93270 1695</t>
  </si>
  <si>
    <t xml:space="preserve">+55 11 95231 1000</t>
  </si>
  <si>
    <t xml:space="preserve">+55 11 96414 0786</t>
  </si>
  <si>
    <t xml:space="preserve">Total</t>
  </si>
  <si>
    <t xml:space="preserve">Fonte: Blip, Números de telefone, mensagens pagas (print de 21/10, acumulado de 01/10 a 20/10, mesmo período do cálculo de custo).</t>
  </si>
  <si>
    <t xml:space="preserve">Marketing e Autenticação sem envios. Serviço não tem tarifa e não entra no cálculo de custo.</t>
  </si>
  <si>
    <t xml:space="preserve">Contagem diária de mensagens pagas entregues</t>
  </si>
  <si>
    <t xml:space="preserve">Data</t>
  </si>
  <si>
    <t xml:space="preserve">Total de mensagens</t>
  </si>
  <si>
    <t xml:space="preserve">Custo (R$)</t>
  </si>
  <si>
    <t xml:space="preserve">Mês</t>
  </si>
  <si>
    <t xml:space="preserve">Revendo meta valor cai para (3.295,89)</t>
  </si>
  <si>
    <t xml:space="preserve">Relatório semanal (Quinta a Quarta)</t>
  </si>
  <si>
    <t xml:space="preserve">Semana 1 definida em Premissas (início e fim). As demais têm 7 dias, a partir do dia seguinte. A última pode estar parcial (veja Dias com dados).</t>
  </si>
  <si>
    <t xml:space="preserve">Início</t>
  </si>
  <si>
    <t xml:space="preserve">Fim</t>
  </si>
  <si>
    <t xml:space="preserve">Dias com dados</t>
  </si>
  <si>
    <t xml:space="preserve">Custo médio por mensagem (R$)</t>
  </si>
  <si>
    <t xml:space="preserve">% do custo em Marketing Lite</t>
  </si>
  <si>
    <t xml:space="preserve">Variação do custo vs. semana anterior</t>
  </si>
  <si>
    <t xml:space="preserve">Relatório mensal</t>
  </si>
  <si>
    <t xml:space="preserve">Custo Utilidade (R$)</t>
  </si>
  <si>
    <t xml:space="preserve">Custo Marketing Lite (R$)</t>
  </si>
  <si>
    <t xml:space="preserve">Custo Marketing (R$)</t>
  </si>
  <si>
    <t xml:space="preserve">Custo Autenticação (R$)</t>
  </si>
  <si>
    <t xml:space="preserve">Custo total (R$)</t>
  </si>
  <si>
    <t xml:space="preserve">Variação do custo vs. mês anterior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</si>
</sst>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&quot;R$ &quot;#,##0.00"/>
    <numFmt numFmtId="166" formatCode="dd/mm/yyyy"/>
    <numFmt numFmtId="167" formatCode="#,##0;\(#,##0\);\-"/>
    <numFmt numFmtId="168" formatCode="0.0%;\(0.0%\);\-"/>
    <numFmt numFmtId="169" formatCode="m/d/yyyy"/>
    <numFmt numFmtId="170" formatCode="#,##0;\(#,##0\);\-"/>
    <numFmt numFmtId="171" formatCode="&quot;R$ &quot;#,##0.00;&quot;(R$ &quot;#,##0.00\);\-"/>
    <numFmt numFmtId="172" formatCode="mm/yyyy"/>
    <numFmt numFmtId="173" formatCode="&quot;R$ &quot;#,##0.00;&quot;(R$ &quot;#,##0.00\);\-"/>
    <numFmt numFmtId="174" formatCode="&quot;R$ &quot;#,##0.0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sz val="10"/>
      <name val="Arial"/>
      <family val="2"/>
      <charset val="1"/>
    </font>
    <font>
      <sz val="10"/>
      <color rgb="FF0000FF"/>
      <name val="Arial"/>
      <family val="2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i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theme="0"/>
        <bgColor rgb="FFFFFFCC"/>
      </patternFill>
    </fill>
    <fill>
      <patternFill patternType="solid">
        <fgColor rgb="FFFFFF00"/>
        <bgColor rgb="FFFFFF00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4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2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0" activeCellId="0" sqref="F10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4"/>
    <col collapsed="false" customWidth="true" hidden="false" outlineLevel="0" max="3" min="3" style="0" width="60"/>
    <col collapsed="false" customWidth="true" hidden="false" outlineLevel="0" max="6" min="4" style="0" width="16"/>
  </cols>
  <sheetData>
    <row r="1" customFormat="false" ht="40.5" hidden="false" customHeight="true" outlineLevel="0" collapsed="false">
      <c r="A1" s="1" t="s">
        <v>0</v>
      </c>
      <c r="B1" s="1"/>
      <c r="C1" s="1"/>
    </row>
    <row r="2" customFormat="false" ht="14.25" hidden="false" customHeight="false" outlineLevel="0" collapsed="false">
      <c r="A2" s="1"/>
      <c r="B2" s="1"/>
      <c r="C2" s="1"/>
    </row>
    <row r="3" customFormat="false" ht="31.5" hidden="false" customHeight="true" outlineLevel="0" collapsed="false">
      <c r="A3" s="2" t="s">
        <v>1</v>
      </c>
      <c r="B3" s="2"/>
      <c r="C3" s="3" t="s">
        <v>2</v>
      </c>
    </row>
    <row r="4" customFormat="false" ht="14.25" hidden="false" customHeight="false" outlineLevel="0" collapsed="false">
      <c r="A4" s="4" t="s">
        <v>3</v>
      </c>
      <c r="B4" s="4"/>
      <c r="C4" s="5" t="n">
        <v>0.09</v>
      </c>
    </row>
    <row r="5" customFormat="false" ht="14.25" hidden="false" customHeight="false" outlineLevel="0" collapsed="false">
      <c r="A5" s="4" t="s">
        <v>4</v>
      </c>
      <c r="B5" s="4"/>
      <c r="C5" s="5" t="n">
        <v>0.54</v>
      </c>
    </row>
    <row r="6" customFormat="false" ht="14.25" hidden="false" customHeight="false" outlineLevel="0" collapsed="false">
      <c r="A6" s="4" t="s">
        <v>5</v>
      </c>
      <c r="B6" s="4"/>
      <c r="C6" s="5" t="n">
        <v>0.6</v>
      </c>
    </row>
    <row r="7" customFormat="false" ht="15" hidden="false" customHeight="true" outlineLevel="0" collapsed="false">
      <c r="A7" s="6" t="s">
        <v>6</v>
      </c>
      <c r="B7" s="6"/>
      <c r="C7" s="7" t="n">
        <v>0</v>
      </c>
    </row>
    <row r="9" customFormat="false" ht="14.25" hidden="false" customHeight="false" outlineLevel="0" collapsed="false">
      <c r="A9" s="8" t="s">
        <v>7</v>
      </c>
      <c r="C9" s="9" t="n">
        <v>46296</v>
      </c>
    </row>
    <row r="10" customFormat="false" ht="14.25" hidden="false" customHeight="false" outlineLevel="0" collapsed="false">
      <c r="A10" s="8" t="s">
        <v>8</v>
      </c>
      <c r="C10" s="9" t="n">
        <v>46301</v>
      </c>
    </row>
    <row r="12" customFormat="false" ht="14.25" hidden="false" customHeight="false" outlineLevel="0" collapsed="false">
      <c r="A12" s="10" t="s">
        <v>9</v>
      </c>
    </row>
    <row r="13" customFormat="false" ht="30" hidden="false" customHeight="true" outlineLevel="0" collapsed="false">
      <c r="A13" s="11" t="s">
        <v>10</v>
      </c>
      <c r="B13" s="11" t="s">
        <v>11</v>
      </c>
      <c r="C13" s="11" t="s">
        <v>12</v>
      </c>
      <c r="D13" s="11" t="s">
        <v>3</v>
      </c>
      <c r="E13" s="11" t="s">
        <v>4</v>
      </c>
      <c r="F13" s="11" t="s">
        <v>13</v>
      </c>
    </row>
    <row r="14" customFormat="false" ht="14.25" hidden="false" customHeight="false" outlineLevel="0" collapsed="false">
      <c r="A14" s="12" t="s">
        <v>14</v>
      </c>
      <c r="B14" s="13" t="n">
        <f aca="false">SUM(D14:F14)</f>
        <v>49027</v>
      </c>
      <c r="C14" s="14" t="n">
        <f aca="false">IF($B$17=0,0,B14/$B$17)</f>
        <v>0.19369380047093</v>
      </c>
      <c r="D14" s="12" t="n">
        <v>42347</v>
      </c>
      <c r="E14" s="12" t="n">
        <v>6680</v>
      </c>
      <c r="F14" s="12" t="n">
        <v>0</v>
      </c>
    </row>
    <row r="15" customFormat="false" ht="14.25" hidden="false" customHeight="false" outlineLevel="0" collapsed="false">
      <c r="A15" s="12" t="s">
        <v>15</v>
      </c>
      <c r="B15" s="13" t="n">
        <f aca="false">SUM(D15:F15)</f>
        <v>174516</v>
      </c>
      <c r="C15" s="14" t="n">
        <f aca="false">IF($B$17=0,0,B15/$B$17)</f>
        <v>0.689470440430475</v>
      </c>
      <c r="D15" s="12" t="n">
        <v>164379</v>
      </c>
      <c r="E15" s="12" t="n">
        <v>5676</v>
      </c>
      <c r="F15" s="12" t="n">
        <v>4461</v>
      </c>
    </row>
    <row r="16" customFormat="false" ht="14.25" hidden="false" customHeight="false" outlineLevel="0" collapsed="false">
      <c r="A16" s="12" t="s">
        <v>16</v>
      </c>
      <c r="B16" s="13" t="n">
        <f aca="false">SUM(D16:F16)</f>
        <v>29573</v>
      </c>
      <c r="C16" s="14" t="n">
        <f aca="false">IF($B$17=0,0,B16/$B$17)</f>
        <v>0.116835759098595</v>
      </c>
      <c r="D16" s="12" t="n">
        <v>26096</v>
      </c>
      <c r="E16" s="12" t="n">
        <v>0</v>
      </c>
      <c r="F16" s="12" t="n">
        <v>3477</v>
      </c>
    </row>
    <row r="17" customFormat="false" ht="14.25" hidden="false" customHeight="false" outlineLevel="0" collapsed="false">
      <c r="A17" s="15" t="s">
        <v>17</v>
      </c>
      <c r="B17" s="15" t="n">
        <f aca="false">SUM(B14:B16)</f>
        <v>253116</v>
      </c>
      <c r="C17" s="16" t="n">
        <f aca="false">SUM(C14:C16)</f>
        <v>1</v>
      </c>
      <c r="D17" s="15" t="n">
        <f aca="false">SUM(D14:D16)</f>
        <v>232822</v>
      </c>
      <c r="E17" s="15" t="n">
        <f aca="false">SUM(E14:E16)</f>
        <v>12356</v>
      </c>
      <c r="F17" s="15" t="n">
        <f aca="false">SUM(F14:F16)</f>
        <v>7938</v>
      </c>
    </row>
    <row r="19" customFormat="false" ht="14.25" hidden="false" customHeight="false" outlineLevel="0" collapsed="false">
      <c r="A19" s="17" t="s">
        <v>18</v>
      </c>
    </row>
    <row r="20" customFormat="false" ht="14.25" hidden="false" customHeight="false" outlineLevel="0" collapsed="false">
      <c r="A20" s="17" t="s">
        <v>19</v>
      </c>
    </row>
  </sheetData>
  <mergeCells count="6">
    <mergeCell ref="A1:C2"/>
    <mergeCell ref="A3:B3"/>
    <mergeCell ref="A4:B4"/>
    <mergeCell ref="A5:B5"/>
    <mergeCell ref="A6:B6"/>
    <mergeCell ref="A7:B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F30" activeCellId="0" sqref="F30"/>
    </sheetView>
  </sheetViews>
  <sheetFormatPr defaultColWidth="8.6328125" defaultRowHeight="14.25" zeroHeight="false" outlineLevelRow="0" outlineLevelCol="0"/>
  <cols>
    <col collapsed="false" customWidth="true" hidden="false" outlineLevel="0" max="4" min="1" style="0" width="14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8" min="8" style="0" width="12"/>
  </cols>
  <sheetData>
    <row r="1" customFormat="false" ht="18" hidden="false" customHeight="true" outlineLevel="0" collapsed="false">
      <c r="A1" s="18" t="s">
        <v>20</v>
      </c>
      <c r="B1" s="18"/>
      <c r="C1" s="18"/>
      <c r="D1" s="18"/>
      <c r="E1" s="18"/>
      <c r="F1" s="18"/>
      <c r="G1" s="18"/>
      <c r="H1" s="18"/>
    </row>
    <row r="2" customFormat="false" ht="14.25" hidden="false" customHeight="false" outlineLevel="0" collapsed="false">
      <c r="A2" s="18"/>
      <c r="B2" s="18"/>
      <c r="C2" s="18"/>
      <c r="D2" s="18"/>
      <c r="E2" s="18"/>
      <c r="F2" s="18"/>
      <c r="G2" s="18"/>
      <c r="H2" s="18"/>
    </row>
    <row r="3" customFormat="false" ht="14.25" hidden="false" customHeight="false" outlineLevel="0" collapsed="false">
      <c r="A3" s="18"/>
      <c r="B3" s="18"/>
      <c r="C3" s="18"/>
      <c r="D3" s="18"/>
      <c r="E3" s="18"/>
      <c r="F3" s="18"/>
      <c r="G3" s="18"/>
      <c r="H3" s="18"/>
    </row>
    <row r="4" customFormat="false" ht="31.5" hidden="false" customHeight="true" outlineLevel="0" collapsed="false">
      <c r="A4" s="19" t="s">
        <v>21</v>
      </c>
      <c r="B4" s="19" t="s">
        <v>3</v>
      </c>
      <c r="C4" s="19" t="s">
        <v>6</v>
      </c>
      <c r="D4" s="19" t="s">
        <v>5</v>
      </c>
      <c r="E4" s="19" t="s">
        <v>4</v>
      </c>
      <c r="F4" s="19" t="s">
        <v>22</v>
      </c>
      <c r="G4" s="19" t="s">
        <v>23</v>
      </c>
      <c r="H4" s="19" t="s">
        <v>24</v>
      </c>
    </row>
    <row r="5" customFormat="false" ht="14.25" hidden="false" customHeight="false" outlineLevel="0" collapsed="false">
      <c r="A5" s="20" t="n">
        <v>46296</v>
      </c>
      <c r="B5" s="21" t="n">
        <v>32</v>
      </c>
      <c r="C5" s="21" t="n">
        <v>0</v>
      </c>
      <c r="D5" s="21" t="n">
        <v>0</v>
      </c>
      <c r="E5" s="21" t="n">
        <v>3</v>
      </c>
      <c r="F5" s="22" t="n">
        <f aca="false">IF(A5="","",SUM(B5:E5))</f>
        <v>35</v>
      </c>
      <c r="G5" s="23" t="n">
        <f aca="false">IF(A5="","",B5*Premissas!$C$4+C5*Premissas!$C$7+D5*Premissas!$C$6+E5*Premissas!$C$5)</f>
        <v>4.5</v>
      </c>
      <c r="H5" s="24" t="n">
        <f aca="false">IF(A5="","",DATE(YEAR(A5),MONTH(A5),1))</f>
        <v>46296</v>
      </c>
    </row>
    <row r="6" customFormat="false" ht="14.25" hidden="false" customHeight="false" outlineLevel="0" collapsed="false">
      <c r="A6" s="20" t="n">
        <v>46297</v>
      </c>
      <c r="B6" s="21" t="n">
        <v>9012</v>
      </c>
      <c r="C6" s="21" t="n">
        <v>0</v>
      </c>
      <c r="D6" s="21" t="n">
        <v>0</v>
      </c>
      <c r="E6" s="21" t="n">
        <v>2</v>
      </c>
      <c r="F6" s="22" t="n">
        <f aca="false">IF(A6="","",SUM(B6:E6))</f>
        <v>9014</v>
      </c>
      <c r="G6" s="23" t="n">
        <f aca="false">IF(A6="","",B6*Premissas!$C$4+C6*Premissas!$C$7+D6*Premissas!$C$6+E6*Premissas!$C$5)</f>
        <v>812.16</v>
      </c>
      <c r="H6" s="24" t="n">
        <f aca="false">IF(A6="","",DATE(YEAR(A6),MONTH(A6),1))</f>
        <v>46296</v>
      </c>
    </row>
    <row r="7" customFormat="false" ht="14.25" hidden="false" customHeight="false" outlineLevel="0" collapsed="false">
      <c r="A7" s="20" t="n">
        <v>46298</v>
      </c>
      <c r="B7" s="21" t="n">
        <v>10694</v>
      </c>
      <c r="C7" s="21" t="n">
        <v>0</v>
      </c>
      <c r="D7" s="21" t="n">
        <v>0</v>
      </c>
      <c r="E7" s="21" t="n">
        <v>1</v>
      </c>
      <c r="F7" s="22" t="n">
        <f aca="false">IF(A7="","",SUM(B7:E7))</f>
        <v>10695</v>
      </c>
      <c r="G7" s="23" t="n">
        <f aca="false">IF(A7="","",B7*Premissas!$C$4+C7*Premissas!$C$7+D7*Premissas!$C$6+E7*Premissas!$C$5)</f>
        <v>963</v>
      </c>
      <c r="H7" s="24" t="n">
        <f aca="false">IF(A7="","",DATE(YEAR(A7),MONTH(A7),1))</f>
        <v>46296</v>
      </c>
    </row>
    <row r="8" customFormat="false" ht="14.25" hidden="false" customHeight="false" outlineLevel="0" collapsed="false">
      <c r="A8" s="20" t="n">
        <v>46299</v>
      </c>
      <c r="B8" s="21" t="n">
        <v>13503</v>
      </c>
      <c r="C8" s="21" t="n">
        <v>0</v>
      </c>
      <c r="D8" s="21" t="n">
        <v>0</v>
      </c>
      <c r="E8" s="21" t="n">
        <v>1</v>
      </c>
      <c r="F8" s="22" t="n">
        <f aca="false">IF(A8="","",SUM(B8:E8))</f>
        <v>13504</v>
      </c>
      <c r="G8" s="23" t="n">
        <f aca="false">IF(A8="","",B8*Premissas!$C$4+C8*Premissas!$C$7+D8*Premissas!$C$6+E8*Premissas!$C$5)</f>
        <v>1215.81</v>
      </c>
      <c r="H8" s="24" t="n">
        <f aca="false">IF(A8="","",DATE(YEAR(A8),MONTH(A8),1))</f>
        <v>46296</v>
      </c>
    </row>
    <row r="9" customFormat="false" ht="14.25" hidden="false" customHeight="false" outlineLevel="0" collapsed="false">
      <c r="A9" s="20" t="n">
        <v>46300</v>
      </c>
      <c r="B9" s="21" t="n">
        <v>21812</v>
      </c>
      <c r="C9" s="21" t="n">
        <v>0</v>
      </c>
      <c r="D9" s="21" t="n">
        <v>0</v>
      </c>
      <c r="E9" s="21" t="n">
        <v>0</v>
      </c>
      <c r="F9" s="22" t="n">
        <f aca="false">IF(A9="","",SUM(B9:E9))</f>
        <v>21812</v>
      </c>
      <c r="G9" s="23" t="n">
        <f aca="false">IF(A9="","",B9*Premissas!$C$4+C9*Premissas!$C$7+D9*Premissas!$C$6+E9*Premissas!$C$5)</f>
        <v>1963.08</v>
      </c>
      <c r="H9" s="24" t="n">
        <f aca="false">IF(A9="","",DATE(YEAR(A9),MONTH(A9),1))</f>
        <v>46296</v>
      </c>
    </row>
    <row r="10" customFormat="false" ht="14.25" hidden="false" customHeight="false" outlineLevel="0" collapsed="false">
      <c r="A10" s="20" t="n">
        <v>46301</v>
      </c>
      <c r="B10" s="21" t="n">
        <v>27289</v>
      </c>
      <c r="C10" s="21" t="n">
        <v>0</v>
      </c>
      <c r="D10" s="21" t="n">
        <v>0</v>
      </c>
      <c r="E10" s="21" t="n">
        <v>9332</v>
      </c>
      <c r="F10" s="22" t="n">
        <f aca="false">IF(A10="","",SUM(B10:E10))</f>
        <v>36621</v>
      </c>
      <c r="G10" s="23" t="n">
        <f aca="false">IF(A10="","",B10*Premissas!$C$4+C10*Premissas!$C$7+D10*Premissas!$C$6+E10*Premissas!$C$5)</f>
        <v>7495.29</v>
      </c>
      <c r="H10" s="24" t="n">
        <f aca="false">IF(A10="","",DATE(YEAR(A10),MONTH(A10),1))</f>
        <v>46296</v>
      </c>
      <c r="I10" s="25" t="s">
        <v>25</v>
      </c>
    </row>
    <row r="11" customFormat="false" ht="14.25" hidden="false" customHeight="false" outlineLevel="0" collapsed="false">
      <c r="A11" s="20" t="n">
        <v>46302</v>
      </c>
      <c r="B11" s="21" t="n">
        <v>36873</v>
      </c>
      <c r="C11" s="21" t="n">
        <v>0</v>
      </c>
      <c r="D11" s="21" t="n">
        <v>0</v>
      </c>
      <c r="E11" s="21" t="n">
        <v>63</v>
      </c>
      <c r="F11" s="22" t="n">
        <f aca="false">IF(A11="","",SUM(B11:E11))</f>
        <v>36936</v>
      </c>
      <c r="G11" s="23" t="n">
        <f aca="false">IF(A11="","",B11*Premissas!$C$4+C11*Premissas!$C$7+D11*Premissas!$C$6+E11*Premissas!$C$5)</f>
        <v>3352.59</v>
      </c>
      <c r="H11" s="24" t="n">
        <f aca="false">IF(A11="","",DATE(YEAR(A11),MONTH(A11),1))</f>
        <v>46296</v>
      </c>
    </row>
    <row r="12" customFormat="false" ht="14.25" hidden="false" customHeight="false" outlineLevel="0" collapsed="false">
      <c r="A12" s="20" t="n">
        <v>46303</v>
      </c>
      <c r="B12" s="21" t="n">
        <v>12063</v>
      </c>
      <c r="C12" s="21" t="n">
        <v>0</v>
      </c>
      <c r="D12" s="21" t="n">
        <v>0</v>
      </c>
      <c r="E12" s="21" t="n">
        <v>9</v>
      </c>
      <c r="F12" s="22" t="n">
        <f aca="false">IF(A12="","",SUM(B12:E12))</f>
        <v>12072</v>
      </c>
      <c r="G12" s="23" t="n">
        <f aca="false">IF(A12="","",B12*Premissas!$C$4+C12*Premissas!$C$7+D12*Premissas!$C$6+E12*Premissas!$C$5)</f>
        <v>1090.53</v>
      </c>
      <c r="H12" s="24" t="n">
        <f aca="false">IF(A12="","",DATE(YEAR(A12),MONTH(A12),1))</f>
        <v>46296</v>
      </c>
    </row>
    <row r="13" customFormat="false" ht="14.25" hidden="false" customHeight="false" outlineLevel="0" collapsed="false">
      <c r="A13" s="20" t="n">
        <v>46304</v>
      </c>
      <c r="B13" s="21" t="n">
        <v>95</v>
      </c>
      <c r="C13" s="21" t="n">
        <v>0</v>
      </c>
      <c r="D13" s="21" t="n">
        <v>0</v>
      </c>
      <c r="E13" s="21" t="n">
        <v>4</v>
      </c>
      <c r="F13" s="22" t="n">
        <f aca="false">IF(A13="","",SUM(B13:E13))</f>
        <v>99</v>
      </c>
      <c r="G13" s="23" t="n">
        <f aca="false">IF(A13="","",B13*Premissas!$C$4+C13*Premissas!$C$7+D13*Premissas!$C$6+E13*Premissas!$C$5)</f>
        <v>10.71</v>
      </c>
      <c r="H13" s="24" t="n">
        <f aca="false">IF(A13="","",DATE(YEAR(A13),MONTH(A13),1))</f>
        <v>46296</v>
      </c>
    </row>
    <row r="14" customFormat="false" ht="14.25" hidden="false" customHeight="false" outlineLevel="0" collapsed="false">
      <c r="A14" s="20" t="n">
        <v>46305</v>
      </c>
      <c r="B14" s="21" t="n">
        <v>5185</v>
      </c>
      <c r="C14" s="21" t="n">
        <v>0</v>
      </c>
      <c r="D14" s="21" t="n">
        <v>0</v>
      </c>
      <c r="E14" s="21" t="n">
        <v>1</v>
      </c>
      <c r="F14" s="22" t="n">
        <f aca="false">IF(A14="","",SUM(B14:E14))</f>
        <v>5186</v>
      </c>
      <c r="G14" s="23" t="n">
        <f aca="false">IF(A14="","",B14*Premissas!$C$4+C14*Premissas!$C$7+D14*Premissas!$C$6+E14*Premissas!$C$5)</f>
        <v>467.19</v>
      </c>
      <c r="H14" s="24" t="n">
        <f aca="false">IF(A14="","",DATE(YEAR(A14),MONTH(A14),1))</f>
        <v>46296</v>
      </c>
    </row>
    <row r="15" customFormat="false" ht="14.25" hidden="false" customHeight="false" outlineLevel="0" collapsed="false">
      <c r="A15" s="20" t="n">
        <v>46306</v>
      </c>
      <c r="B15" s="21" t="n">
        <v>8957</v>
      </c>
      <c r="C15" s="21" t="n">
        <v>0</v>
      </c>
      <c r="D15" s="21" t="n">
        <v>0</v>
      </c>
      <c r="E15" s="21" t="n">
        <v>0</v>
      </c>
      <c r="F15" s="22" t="n">
        <f aca="false">IF(A15="","",SUM(B15:E15))</f>
        <v>8957</v>
      </c>
      <c r="G15" s="23" t="n">
        <f aca="false">IF(A15="","",B15*Premissas!$C$4+C15*Premissas!$C$7+D15*Premissas!$C$6+E15*Premissas!$C$5)</f>
        <v>806.13</v>
      </c>
      <c r="H15" s="24" t="n">
        <f aca="false">IF(A15="","",DATE(YEAR(A15),MONTH(A15),1))</f>
        <v>46296</v>
      </c>
    </row>
    <row r="16" customFormat="false" ht="14.25" hidden="false" customHeight="false" outlineLevel="0" collapsed="false">
      <c r="A16" s="20" t="n">
        <v>46307</v>
      </c>
      <c r="B16" s="21" t="n">
        <v>3558</v>
      </c>
      <c r="C16" s="21" t="n">
        <v>0</v>
      </c>
      <c r="D16" s="21" t="n">
        <v>0</v>
      </c>
      <c r="E16" s="21" t="n">
        <v>1560</v>
      </c>
      <c r="F16" s="22" t="n">
        <f aca="false">IF(A16="","",SUM(B16:E16))</f>
        <v>5118</v>
      </c>
      <c r="G16" s="23" t="n">
        <f aca="false">IF(A16="","",B16*Premissas!$C$4+C16*Premissas!$C$7+D16*Premissas!$C$6+E16*Premissas!$C$5)</f>
        <v>1162.62</v>
      </c>
      <c r="H16" s="24" t="n">
        <f aca="false">IF(A16="","",DATE(YEAR(A16),MONTH(A16),1))</f>
        <v>46296</v>
      </c>
    </row>
    <row r="17" customFormat="false" ht="14.25" hidden="false" customHeight="false" outlineLevel="0" collapsed="false">
      <c r="A17" s="20" t="n">
        <v>46308</v>
      </c>
      <c r="B17" s="21" t="n">
        <v>11134</v>
      </c>
      <c r="C17" s="21" t="n">
        <v>0</v>
      </c>
      <c r="D17" s="21" t="n">
        <v>0</v>
      </c>
      <c r="E17" s="21" t="n">
        <v>8</v>
      </c>
      <c r="F17" s="22" t="n">
        <f aca="false">IF(A17="","",SUM(B17:E17))</f>
        <v>11142</v>
      </c>
      <c r="G17" s="23" t="n">
        <f aca="false">IF(A17="","",B17*Premissas!$C$4+C17*Premissas!$C$7+D17*Premissas!$C$6+E17*Premissas!$C$5)</f>
        <v>1006.38</v>
      </c>
      <c r="H17" s="24" t="n">
        <f aca="false">IF(A17="","",DATE(YEAR(A17),MONTH(A17),1))</f>
        <v>46296</v>
      </c>
    </row>
    <row r="18" customFormat="false" ht="14.25" hidden="false" customHeight="false" outlineLevel="0" collapsed="false">
      <c r="A18" s="20" t="n">
        <v>46309</v>
      </c>
      <c r="B18" s="21" t="n">
        <v>17442</v>
      </c>
      <c r="C18" s="21" t="n">
        <v>0</v>
      </c>
      <c r="D18" s="21" t="n">
        <v>0</v>
      </c>
      <c r="E18" s="21" t="n">
        <v>0</v>
      </c>
      <c r="F18" s="22" t="n">
        <f aca="false">IF(A18="","",SUM(B18:E18))</f>
        <v>17442</v>
      </c>
      <c r="G18" s="23" t="n">
        <f aca="false">IF(A18="","",B18*Premissas!$C$4+C18*Premissas!$C$7+D18*Premissas!$C$6+E18*Premissas!$C$5)</f>
        <v>1569.78</v>
      </c>
      <c r="H18" s="24" t="n">
        <f aca="false">IF(A18="","",DATE(YEAR(A18),MONTH(A18),1))</f>
        <v>46296</v>
      </c>
    </row>
    <row r="19" customFormat="false" ht="14.25" hidden="false" customHeight="false" outlineLevel="0" collapsed="false">
      <c r="A19" s="20" t="n">
        <v>46310</v>
      </c>
      <c r="B19" s="21" t="n">
        <v>114</v>
      </c>
      <c r="C19" s="21" t="n">
        <v>0</v>
      </c>
      <c r="D19" s="21" t="n">
        <v>0</v>
      </c>
      <c r="E19" s="21" t="n">
        <v>2</v>
      </c>
      <c r="F19" s="22" t="n">
        <f aca="false">IF(A19="","",SUM(B19:E19))</f>
        <v>116</v>
      </c>
      <c r="G19" s="23" t="n">
        <f aca="false">IF(A19="","",B19*Premissas!$C$4+C19*Premissas!$C$7+D19*Premissas!$C$6+E19*Premissas!$C$5)</f>
        <v>11.34</v>
      </c>
      <c r="H19" s="24" t="n">
        <f aca="false">IF(A19="","",DATE(YEAR(A19),MONTH(A19),1))</f>
        <v>46296</v>
      </c>
    </row>
    <row r="20" customFormat="false" ht="14.25" hidden="false" customHeight="false" outlineLevel="0" collapsed="false">
      <c r="A20" s="20" t="n">
        <v>46311</v>
      </c>
      <c r="B20" s="21" t="n">
        <v>58</v>
      </c>
      <c r="C20" s="21" t="n">
        <v>0</v>
      </c>
      <c r="D20" s="21" t="n">
        <v>0</v>
      </c>
      <c r="E20" s="21" t="n">
        <v>0</v>
      </c>
      <c r="F20" s="22" t="n">
        <f aca="false">IF(A20="","",SUM(B20:E20))</f>
        <v>58</v>
      </c>
      <c r="G20" s="23" t="n">
        <f aca="false">IF(A20="","",B20*Premissas!$C$4+C20*Premissas!$C$7+D20*Premissas!$C$6+E20*Premissas!$C$5)</f>
        <v>5.22</v>
      </c>
      <c r="H20" s="24" t="n">
        <f aca="false">IF(A20="","",DATE(YEAR(A20),MONTH(A20),1))</f>
        <v>46296</v>
      </c>
    </row>
    <row r="21" customFormat="false" ht="14.25" hidden="false" customHeight="false" outlineLevel="0" collapsed="false">
      <c r="A21" s="20" t="n">
        <v>46312</v>
      </c>
      <c r="B21" s="21" t="n">
        <v>9249</v>
      </c>
      <c r="C21" s="21" t="n">
        <v>0</v>
      </c>
      <c r="D21" s="21" t="n">
        <v>0</v>
      </c>
      <c r="E21" s="21" t="n">
        <v>0</v>
      </c>
      <c r="F21" s="22" t="n">
        <f aca="false">IF(A21="","",SUM(B21:E21))</f>
        <v>9249</v>
      </c>
      <c r="G21" s="23" t="n">
        <f aca="false">IF(A21="","",B21*Premissas!$C$4+C21*Premissas!$C$7+D21*Premissas!$C$6+E21*Premissas!$C$5)</f>
        <v>832.41</v>
      </c>
      <c r="H21" s="24" t="n">
        <f aca="false">IF(A21="","",DATE(YEAR(A21),MONTH(A21),1))</f>
        <v>46296</v>
      </c>
    </row>
    <row r="22" customFormat="false" ht="14.25" hidden="false" customHeight="false" outlineLevel="0" collapsed="false">
      <c r="A22" s="20" t="n">
        <v>46313</v>
      </c>
      <c r="B22" s="21" t="n">
        <v>6665</v>
      </c>
      <c r="C22" s="21" t="n">
        <v>0</v>
      </c>
      <c r="D22" s="21" t="n">
        <v>0</v>
      </c>
      <c r="E22" s="21" t="n">
        <v>1364</v>
      </c>
      <c r="F22" s="22" t="n">
        <f aca="false">IF(A22="","",SUM(B22:E22))</f>
        <v>8029</v>
      </c>
      <c r="G22" s="23" t="n">
        <f aca="false">IF(A22="","",B22*Premissas!$C$4+C22*Premissas!$C$7+D22*Premissas!$C$6+E22*Premissas!$C$5)</f>
        <v>1336.41</v>
      </c>
      <c r="H22" s="24" t="n">
        <f aca="false">IF(A22="","",DATE(YEAR(A22),MONTH(A22),1))</f>
        <v>46296</v>
      </c>
    </row>
    <row r="23" customFormat="false" ht="14.25" hidden="false" customHeight="false" outlineLevel="0" collapsed="false">
      <c r="A23" s="20" t="n">
        <v>46314</v>
      </c>
      <c r="B23" s="21" t="n">
        <v>19823</v>
      </c>
      <c r="C23" s="21" t="n">
        <v>0</v>
      </c>
      <c r="D23" s="21" t="n">
        <v>0</v>
      </c>
      <c r="E23" s="21" t="n">
        <v>5</v>
      </c>
      <c r="F23" s="22" t="n">
        <f aca="false">IF(A23="","",SUM(B23:E23))</f>
        <v>19828</v>
      </c>
      <c r="G23" s="23" t="n">
        <f aca="false">IF(A23="","",B23*Premissas!$C$4+C23*Premissas!$C$7+D23*Premissas!$C$6+E23*Premissas!$C$5)</f>
        <v>1786.77</v>
      </c>
      <c r="H23" s="24" t="n">
        <f aca="false">IF(A23="","",DATE(YEAR(A23),MONTH(A23),1))</f>
        <v>46296</v>
      </c>
    </row>
    <row r="24" customFormat="false" ht="14.25" hidden="false" customHeight="false" outlineLevel="0" collapsed="false">
      <c r="A24" s="20" t="n">
        <v>46315</v>
      </c>
      <c r="B24" s="21" t="n">
        <v>19264</v>
      </c>
      <c r="C24" s="21" t="n">
        <v>0</v>
      </c>
      <c r="D24" s="21" t="n">
        <v>0</v>
      </c>
      <c r="E24" s="21" t="n">
        <v>1</v>
      </c>
      <c r="F24" s="22" t="n">
        <f aca="false">IF(A24="","",SUM(B24:E24))</f>
        <v>19265</v>
      </c>
      <c r="G24" s="23" t="n">
        <f aca="false">IF(A24="","",B24*Premissas!$C$4+C24*Premissas!$C$7+D24*Premissas!$C$6+E24*Premissas!$C$5)</f>
        <v>1734.3</v>
      </c>
      <c r="H24" s="24" t="n">
        <f aca="false">IF(A24="","",DATE(YEAR(A24),MONTH(A24),1))</f>
        <v>46296</v>
      </c>
    </row>
    <row r="25" customFormat="false" ht="14.25" hidden="false" customHeight="false" outlineLevel="0" collapsed="false">
      <c r="A25" s="20"/>
      <c r="B25" s="21"/>
      <c r="C25" s="21"/>
      <c r="D25" s="21"/>
      <c r="E25" s="21"/>
      <c r="F25" s="22" t="str">
        <f aca="false">IF(A25="","",SUM(B25:E25))</f>
        <v/>
      </c>
      <c r="G25" s="23" t="str">
        <f aca="false">IF(A25="","",B25*Premissas!$C$4+C25*Premissas!$C$7+D25*Premissas!$C$6+E25*Premissas!$C$5)</f>
        <v/>
      </c>
      <c r="H25" s="24" t="str">
        <f aca="false">IF(A25="","",DATE(YEAR(A25),MONTH(A25),1))</f>
        <v/>
      </c>
    </row>
    <row r="26" customFormat="false" ht="14.25" hidden="false" customHeight="false" outlineLevel="0" collapsed="false">
      <c r="A26" s="20"/>
      <c r="B26" s="21"/>
      <c r="C26" s="21"/>
      <c r="D26" s="21"/>
      <c r="E26" s="21"/>
      <c r="F26" s="22" t="str">
        <f aca="false">IF(A26="","",SUM(B26:E26))</f>
        <v/>
      </c>
      <c r="G26" s="23" t="str">
        <f aca="false">IF(A26="","",B26*Premissas!$C$4+C26*Premissas!$C$7+D26*Premissas!$C$6+E26*Premissas!$C$5)</f>
        <v/>
      </c>
      <c r="H26" s="24" t="str">
        <f aca="false">IF(A26="","",DATE(YEAR(A26),MONTH(A26),1))</f>
        <v/>
      </c>
    </row>
    <row r="27" customFormat="false" ht="14.25" hidden="false" customHeight="false" outlineLevel="0" collapsed="false">
      <c r="A27" s="20"/>
      <c r="B27" s="21"/>
      <c r="C27" s="21"/>
      <c r="D27" s="21"/>
      <c r="E27" s="21"/>
      <c r="F27" s="22" t="str">
        <f aca="false">IF(A27="","",SUM(B27:E27))</f>
        <v/>
      </c>
      <c r="G27" s="23" t="str">
        <f aca="false">IF(A27="","",B27*Premissas!$C$4+C27*Premissas!$C$7+D27*Premissas!$C$6+E27*Premissas!$C$5)</f>
        <v/>
      </c>
      <c r="H27" s="24" t="str">
        <f aca="false">IF(A27="","",DATE(YEAR(A27),MONTH(A27),1))</f>
        <v/>
      </c>
    </row>
    <row r="28" customFormat="false" ht="14.25" hidden="false" customHeight="false" outlineLevel="0" collapsed="false">
      <c r="A28" s="20"/>
      <c r="B28" s="21"/>
      <c r="C28" s="21"/>
      <c r="D28" s="21"/>
      <c r="E28" s="21"/>
      <c r="F28" s="22" t="str">
        <f aca="false">IF(A28="","",SUM(B28:E28))</f>
        <v/>
      </c>
      <c r="G28" s="23" t="str">
        <f aca="false">IF(A28="","",B28*Premissas!$C$4+C28*Premissas!$C$7+D28*Premissas!$C$6+E28*Premissas!$C$5)</f>
        <v/>
      </c>
      <c r="H28" s="24" t="str">
        <f aca="false">IF(A28="","",DATE(YEAR(A28),MONTH(A28),1))</f>
        <v/>
      </c>
    </row>
    <row r="29" customFormat="false" ht="14.25" hidden="false" customHeight="false" outlineLevel="0" collapsed="false">
      <c r="A29" s="20"/>
      <c r="B29" s="21"/>
      <c r="C29" s="21"/>
      <c r="D29" s="21"/>
      <c r="E29" s="21"/>
      <c r="F29" s="22" t="str">
        <f aca="false">IF(A29="","",SUM(B29:E29))</f>
        <v/>
      </c>
      <c r="G29" s="23" t="str">
        <f aca="false">IF(A29="","",B29*Premissas!$C$4+C29*Premissas!$C$7+D29*Premissas!$C$6+E29*Premissas!$C$5)</f>
        <v/>
      </c>
      <c r="H29" s="24" t="str">
        <f aca="false">IF(A29="","",DATE(YEAR(A29),MONTH(A29),1))</f>
        <v/>
      </c>
    </row>
    <row r="30" customFormat="false" ht="14.25" hidden="false" customHeight="false" outlineLevel="0" collapsed="false">
      <c r="A30" s="20"/>
      <c r="B30" s="21"/>
      <c r="C30" s="21"/>
      <c r="D30" s="21"/>
      <c r="E30" s="21"/>
      <c r="F30" s="22" t="str">
        <f aca="false">IF(A30="","",SUM(B30:E30))</f>
        <v/>
      </c>
      <c r="G30" s="23" t="str">
        <f aca="false">IF(A30="","",B30*Premissas!$C$4+C30*Premissas!$C$7+D30*Premissas!$C$6+E30*Premissas!$C$5)</f>
        <v/>
      </c>
      <c r="H30" s="24" t="str">
        <f aca="false">IF(A30="","",DATE(YEAR(A30),MONTH(A30),1))</f>
        <v/>
      </c>
    </row>
    <row r="31" customFormat="false" ht="14.25" hidden="false" customHeight="false" outlineLevel="0" collapsed="false">
      <c r="A31" s="20"/>
      <c r="B31" s="21"/>
      <c r="C31" s="21"/>
      <c r="D31" s="21"/>
      <c r="E31" s="21"/>
      <c r="F31" s="22" t="str">
        <f aca="false">IF(A31="","",SUM(B31:E31))</f>
        <v/>
      </c>
      <c r="G31" s="23" t="str">
        <f aca="false">IF(A31="","",B31*Premissas!$C$4+C31*Premissas!$C$7+D31*Premissas!$C$6+E31*Premissas!$C$5)</f>
        <v/>
      </c>
      <c r="H31" s="24" t="str">
        <f aca="false">IF(A31="","",DATE(YEAR(A31),MONTH(A31),1))</f>
        <v/>
      </c>
    </row>
    <row r="32" customFormat="false" ht="14.25" hidden="false" customHeight="false" outlineLevel="0" collapsed="false">
      <c r="A32" s="20"/>
      <c r="B32" s="21"/>
      <c r="C32" s="21"/>
      <c r="D32" s="21"/>
      <c r="E32" s="21"/>
      <c r="F32" s="22" t="str">
        <f aca="false">IF(A32="","",SUM(B32:E32))</f>
        <v/>
      </c>
      <c r="G32" s="23" t="str">
        <f aca="false">IF(A32="","",B32*Premissas!$C$4+C32*Premissas!$C$7+D32*Premissas!$C$6+E32*Premissas!$C$5)</f>
        <v/>
      </c>
      <c r="H32" s="24" t="str">
        <f aca="false">IF(A32="","",DATE(YEAR(A32),MONTH(A32),1))</f>
        <v/>
      </c>
    </row>
    <row r="33" customFormat="false" ht="14.25" hidden="false" customHeight="false" outlineLevel="0" collapsed="false">
      <c r="A33" s="20"/>
      <c r="B33" s="21"/>
      <c r="C33" s="21"/>
      <c r="D33" s="21"/>
      <c r="E33" s="21"/>
      <c r="F33" s="22" t="str">
        <f aca="false">IF(A33="","",SUM(B33:E33))</f>
        <v/>
      </c>
      <c r="G33" s="23" t="str">
        <f aca="false">IF(A33="","",B33*Premissas!$C$4+C33*Premissas!$C$7+D33*Premissas!$C$6+E33*Premissas!$C$5)</f>
        <v/>
      </c>
      <c r="H33" s="24" t="str">
        <f aca="false">IF(A33="","",DATE(YEAR(A33),MONTH(A33),1))</f>
        <v/>
      </c>
    </row>
    <row r="34" customFormat="false" ht="14.25" hidden="false" customHeight="false" outlineLevel="0" collapsed="false">
      <c r="A34" s="20"/>
      <c r="B34" s="21"/>
      <c r="C34" s="21"/>
      <c r="D34" s="21"/>
      <c r="E34" s="21"/>
      <c r="F34" s="22" t="str">
        <f aca="false">IF(A34="","",SUM(B34:E34))</f>
        <v/>
      </c>
      <c r="G34" s="23" t="str">
        <f aca="false">IF(A34="","",B34*Premissas!$C$4+C34*Premissas!$C$7+D34*Premissas!$C$6+E34*Premissas!$C$5)</f>
        <v/>
      </c>
      <c r="H34" s="24" t="str">
        <f aca="false">IF(A34="","",DATE(YEAR(A34),MONTH(A34),1))</f>
        <v/>
      </c>
    </row>
    <row r="35" customFormat="false" ht="14.25" hidden="false" customHeight="false" outlineLevel="0" collapsed="false">
      <c r="A35" s="20"/>
      <c r="B35" s="21"/>
      <c r="C35" s="21"/>
      <c r="D35" s="21"/>
      <c r="E35" s="21"/>
      <c r="F35" s="22" t="str">
        <f aca="false">IF(A35="","",SUM(B35:E35))</f>
        <v/>
      </c>
      <c r="G35" s="23" t="str">
        <f aca="false">IF(A35="","",B35*Premissas!$C$4+C35*Premissas!$C$7+D35*Premissas!$C$6+E35*Premissas!$C$5)</f>
        <v/>
      </c>
      <c r="H35" s="24" t="str">
        <f aca="false">IF(A35="","",DATE(YEAR(A35),MONTH(A35),1))</f>
        <v/>
      </c>
    </row>
    <row r="36" customFormat="false" ht="14.25" hidden="false" customHeight="false" outlineLevel="0" collapsed="false">
      <c r="A36" s="20"/>
      <c r="B36" s="21"/>
      <c r="C36" s="21"/>
      <c r="D36" s="21"/>
      <c r="E36" s="21"/>
      <c r="F36" s="22" t="str">
        <f aca="false">IF(A36="","",SUM(B36:E36))</f>
        <v/>
      </c>
      <c r="G36" s="23" t="str">
        <f aca="false">IF(A36="","",B36*Premissas!$C$4+C36*Premissas!$C$7+D36*Premissas!$C$6+E36*Premissas!$C$5)</f>
        <v/>
      </c>
      <c r="H36" s="24" t="str">
        <f aca="false">IF(A36="","",DATE(YEAR(A36),MONTH(A36),1))</f>
        <v/>
      </c>
    </row>
    <row r="37" customFormat="false" ht="14.25" hidden="false" customHeight="false" outlineLevel="0" collapsed="false">
      <c r="A37" s="20"/>
      <c r="B37" s="21"/>
      <c r="C37" s="21"/>
      <c r="D37" s="21"/>
      <c r="E37" s="21"/>
      <c r="F37" s="22" t="str">
        <f aca="false">IF(A37="","",SUM(B37:E37))</f>
        <v/>
      </c>
      <c r="G37" s="23" t="str">
        <f aca="false">IF(A37="","",B37*Premissas!$C$4+C37*Premissas!$C$7+D37*Premissas!$C$6+E37*Premissas!$C$5)</f>
        <v/>
      </c>
      <c r="H37" s="24" t="str">
        <f aca="false">IF(A37="","",DATE(YEAR(A37),MONTH(A37),1))</f>
        <v/>
      </c>
    </row>
    <row r="38" customFormat="false" ht="14.25" hidden="false" customHeight="false" outlineLevel="0" collapsed="false">
      <c r="A38" s="20"/>
      <c r="B38" s="21"/>
      <c r="C38" s="21"/>
      <c r="D38" s="21"/>
      <c r="E38" s="21"/>
      <c r="F38" s="22" t="str">
        <f aca="false">IF(A38="","",SUM(B38:E38))</f>
        <v/>
      </c>
      <c r="G38" s="23" t="str">
        <f aca="false">IF(A38="","",B38*Premissas!$C$4+C38*Premissas!$C$7+D38*Premissas!$C$6+E38*Premissas!$C$5)</f>
        <v/>
      </c>
      <c r="H38" s="24" t="str">
        <f aca="false">IF(A38="","",DATE(YEAR(A38),MONTH(A38),1))</f>
        <v/>
      </c>
    </row>
    <row r="39" customFormat="false" ht="14.25" hidden="false" customHeight="false" outlineLevel="0" collapsed="false">
      <c r="A39" s="20"/>
      <c r="B39" s="21"/>
      <c r="C39" s="21"/>
      <c r="D39" s="21"/>
      <c r="E39" s="21"/>
      <c r="F39" s="22" t="str">
        <f aca="false">IF(A39="","",SUM(B39:E39))</f>
        <v/>
      </c>
      <c r="G39" s="23" t="str">
        <f aca="false">IF(A39="","",B39*Premissas!$C$4+C39*Premissas!$C$7+D39*Premissas!$C$6+E39*Premissas!$C$5)</f>
        <v/>
      </c>
      <c r="H39" s="24" t="str">
        <f aca="false">IF(A39="","",DATE(YEAR(A39),MONTH(A39),1))</f>
        <v/>
      </c>
    </row>
    <row r="40" customFormat="false" ht="14.25" hidden="false" customHeight="false" outlineLevel="0" collapsed="false">
      <c r="A40" s="20"/>
      <c r="B40" s="21"/>
      <c r="C40" s="21"/>
      <c r="D40" s="21"/>
      <c r="E40" s="21"/>
      <c r="F40" s="22" t="str">
        <f aca="false">IF(A40="","",SUM(B40:E40))</f>
        <v/>
      </c>
      <c r="G40" s="23" t="str">
        <f aca="false">IF(A40="","",B40*Premissas!$C$4+C40*Premissas!$C$7+D40*Premissas!$C$6+E40*Premissas!$C$5)</f>
        <v/>
      </c>
      <c r="H40" s="24" t="str">
        <f aca="false">IF(A40="","",DATE(YEAR(A40),MONTH(A40),1))</f>
        <v/>
      </c>
    </row>
    <row r="41" customFormat="false" ht="14.25" hidden="false" customHeight="false" outlineLevel="0" collapsed="false">
      <c r="A41" s="20"/>
      <c r="B41" s="21"/>
      <c r="C41" s="21"/>
      <c r="D41" s="21"/>
      <c r="E41" s="21"/>
      <c r="F41" s="22" t="str">
        <f aca="false">IF(A41="","",SUM(B41:E41))</f>
        <v/>
      </c>
      <c r="G41" s="23" t="str">
        <f aca="false">IF(A41="","",B41*Premissas!$C$4+C41*Premissas!$C$7+D41*Premissas!$C$6+E41*Premissas!$C$5)</f>
        <v/>
      </c>
      <c r="H41" s="24" t="str">
        <f aca="false">IF(A41="","",DATE(YEAR(A41),MONTH(A41),1))</f>
        <v/>
      </c>
    </row>
    <row r="42" customFormat="false" ht="14.25" hidden="false" customHeight="false" outlineLevel="0" collapsed="false">
      <c r="A42" s="20"/>
      <c r="B42" s="21"/>
      <c r="C42" s="21"/>
      <c r="D42" s="21"/>
      <c r="E42" s="21"/>
      <c r="F42" s="22" t="str">
        <f aca="false">IF(A42="","",SUM(B42:E42))</f>
        <v/>
      </c>
      <c r="G42" s="23" t="str">
        <f aca="false">IF(A42="","",B42*Premissas!$C$4+C42*Premissas!$C$7+D42*Premissas!$C$6+E42*Premissas!$C$5)</f>
        <v/>
      </c>
      <c r="H42" s="24" t="str">
        <f aca="false">IF(A42="","",DATE(YEAR(A42),MONTH(A42),1))</f>
        <v/>
      </c>
    </row>
    <row r="43" customFormat="false" ht="14.25" hidden="false" customHeight="false" outlineLevel="0" collapsed="false">
      <c r="A43" s="20"/>
      <c r="B43" s="21"/>
      <c r="C43" s="21"/>
      <c r="D43" s="21"/>
      <c r="E43" s="21"/>
      <c r="F43" s="22" t="str">
        <f aca="false">IF(A43="","",SUM(B43:E43))</f>
        <v/>
      </c>
      <c r="G43" s="23" t="str">
        <f aca="false">IF(A43="","",B43*Premissas!$C$4+C43*Premissas!$C$7+D43*Premissas!$C$6+E43*Premissas!$C$5)</f>
        <v/>
      </c>
      <c r="H43" s="24" t="str">
        <f aca="false">IF(A43="","",DATE(YEAR(A43),MONTH(A43),1))</f>
        <v/>
      </c>
    </row>
    <row r="44" customFormat="false" ht="14.25" hidden="false" customHeight="false" outlineLevel="0" collapsed="false">
      <c r="A44" s="20"/>
      <c r="B44" s="21"/>
      <c r="C44" s="21"/>
      <c r="D44" s="21"/>
      <c r="E44" s="21"/>
      <c r="F44" s="22" t="str">
        <f aca="false">IF(A44="","",SUM(B44:E44))</f>
        <v/>
      </c>
      <c r="G44" s="23" t="str">
        <f aca="false">IF(A44="","",B44*Premissas!$C$4+C44*Premissas!$C$7+D44*Premissas!$C$6+E44*Premissas!$C$5)</f>
        <v/>
      </c>
      <c r="H44" s="24" t="str">
        <f aca="false">IF(A44="","",DATE(YEAR(A44),MONTH(A44),1))</f>
        <v/>
      </c>
    </row>
    <row r="45" customFormat="false" ht="14.25" hidden="false" customHeight="false" outlineLevel="0" collapsed="false">
      <c r="A45" s="20"/>
      <c r="B45" s="21"/>
      <c r="C45" s="21"/>
      <c r="D45" s="21"/>
      <c r="E45" s="21"/>
      <c r="F45" s="22" t="str">
        <f aca="false">IF(A45="","",SUM(B45:E45))</f>
        <v/>
      </c>
      <c r="G45" s="23" t="str">
        <f aca="false">IF(A45="","",B45*Premissas!$C$4+C45*Premissas!$C$7+D45*Premissas!$C$6+E45*Premissas!$C$5)</f>
        <v/>
      </c>
      <c r="H45" s="24" t="str">
        <f aca="false">IF(A45="","",DATE(YEAR(A45),MONTH(A45),1))</f>
        <v/>
      </c>
    </row>
    <row r="46" customFormat="false" ht="14.25" hidden="false" customHeight="false" outlineLevel="0" collapsed="false">
      <c r="A46" s="20"/>
      <c r="B46" s="21"/>
      <c r="C46" s="21"/>
      <c r="D46" s="21"/>
      <c r="E46" s="21"/>
      <c r="F46" s="22" t="str">
        <f aca="false">IF(A46="","",SUM(B46:E46))</f>
        <v/>
      </c>
      <c r="G46" s="23" t="str">
        <f aca="false">IF(A46="","",B46*Premissas!$C$4+C46*Premissas!$C$7+D46*Premissas!$C$6+E46*Premissas!$C$5)</f>
        <v/>
      </c>
      <c r="H46" s="24" t="str">
        <f aca="false">IF(A46="","",DATE(YEAR(A46),MONTH(A46),1))</f>
        <v/>
      </c>
    </row>
    <row r="47" customFormat="false" ht="14.25" hidden="false" customHeight="false" outlineLevel="0" collapsed="false">
      <c r="A47" s="20"/>
      <c r="B47" s="21"/>
      <c r="C47" s="21"/>
      <c r="D47" s="21"/>
      <c r="E47" s="21"/>
      <c r="F47" s="22" t="str">
        <f aca="false">IF(A47="","",SUM(B47:E47))</f>
        <v/>
      </c>
      <c r="G47" s="23" t="str">
        <f aca="false">IF(A47="","",B47*Premissas!$C$4+C47*Premissas!$C$7+D47*Premissas!$C$6+E47*Premissas!$C$5)</f>
        <v/>
      </c>
      <c r="H47" s="24" t="str">
        <f aca="false">IF(A47="","",DATE(YEAR(A47),MONTH(A47),1))</f>
        <v/>
      </c>
    </row>
    <row r="48" customFormat="false" ht="14.25" hidden="false" customHeight="false" outlineLevel="0" collapsed="false">
      <c r="A48" s="20"/>
      <c r="B48" s="21"/>
      <c r="C48" s="21"/>
      <c r="D48" s="21"/>
      <c r="E48" s="21"/>
      <c r="F48" s="22" t="str">
        <f aca="false">IF(A48="","",SUM(B48:E48))</f>
        <v/>
      </c>
      <c r="G48" s="23" t="str">
        <f aca="false">IF(A48="","",B48*Premissas!$C$4+C48*Premissas!$C$7+D48*Premissas!$C$6+E48*Premissas!$C$5)</f>
        <v/>
      </c>
      <c r="H48" s="24" t="str">
        <f aca="false">IF(A48="","",DATE(YEAR(A48),MONTH(A48),1))</f>
        <v/>
      </c>
    </row>
    <row r="49" customFormat="false" ht="14.25" hidden="false" customHeight="false" outlineLevel="0" collapsed="false">
      <c r="A49" s="20"/>
      <c r="B49" s="21"/>
      <c r="C49" s="21"/>
      <c r="D49" s="21"/>
      <c r="E49" s="21"/>
      <c r="F49" s="22" t="str">
        <f aca="false">IF(A49="","",SUM(B49:E49))</f>
        <v/>
      </c>
      <c r="G49" s="23" t="str">
        <f aca="false">IF(A49="","",B49*Premissas!$C$4+C49*Premissas!$C$7+D49*Premissas!$C$6+E49*Premissas!$C$5)</f>
        <v/>
      </c>
      <c r="H49" s="24" t="str">
        <f aca="false">IF(A49="","",DATE(YEAR(A49),MONTH(A49),1))</f>
        <v/>
      </c>
    </row>
    <row r="50" customFormat="false" ht="14.25" hidden="false" customHeight="false" outlineLevel="0" collapsed="false">
      <c r="A50" s="20"/>
      <c r="B50" s="21"/>
      <c r="C50" s="21"/>
      <c r="D50" s="21"/>
      <c r="E50" s="21"/>
      <c r="F50" s="22" t="str">
        <f aca="false">IF(A50="","",SUM(B50:E50))</f>
        <v/>
      </c>
      <c r="G50" s="23" t="str">
        <f aca="false">IF(A50="","",B50*Premissas!$C$4+C50*Premissas!$C$7+D50*Premissas!$C$6+E50*Premissas!$C$5)</f>
        <v/>
      </c>
      <c r="H50" s="24" t="str">
        <f aca="false">IF(A50="","",DATE(YEAR(A50),MONTH(A50),1))</f>
        <v/>
      </c>
    </row>
    <row r="51" customFormat="false" ht="14.25" hidden="false" customHeight="false" outlineLevel="0" collapsed="false">
      <c r="A51" s="20"/>
      <c r="B51" s="21"/>
      <c r="C51" s="21"/>
      <c r="D51" s="21"/>
      <c r="E51" s="21"/>
      <c r="F51" s="22" t="str">
        <f aca="false">IF(A51="","",SUM(B51:E51))</f>
        <v/>
      </c>
      <c r="G51" s="23" t="str">
        <f aca="false">IF(A51="","",B51*Premissas!$C$4+C51*Premissas!$C$7+D51*Premissas!$C$6+E51*Premissas!$C$5)</f>
        <v/>
      </c>
      <c r="H51" s="24" t="str">
        <f aca="false">IF(A51="","",DATE(YEAR(A51),MONTH(A51),1))</f>
        <v/>
      </c>
    </row>
    <row r="52" customFormat="false" ht="14.25" hidden="false" customHeight="false" outlineLevel="0" collapsed="false">
      <c r="A52" s="20"/>
      <c r="B52" s="21"/>
      <c r="C52" s="21"/>
      <c r="D52" s="21"/>
      <c r="E52" s="21"/>
      <c r="F52" s="22" t="str">
        <f aca="false">IF(A52="","",SUM(B52:E52))</f>
        <v/>
      </c>
      <c r="G52" s="23" t="str">
        <f aca="false">IF(A52="","",B52*Premissas!$C$4+C52*Premissas!$C$7+D52*Premissas!$C$6+E52*Premissas!$C$5)</f>
        <v/>
      </c>
      <c r="H52" s="24" t="str">
        <f aca="false">IF(A52="","",DATE(YEAR(A52),MONTH(A52),1))</f>
        <v/>
      </c>
    </row>
    <row r="53" customFormat="false" ht="14.25" hidden="false" customHeight="false" outlineLevel="0" collapsed="false">
      <c r="A53" s="20"/>
      <c r="B53" s="21"/>
      <c r="C53" s="21"/>
      <c r="D53" s="21"/>
      <c r="E53" s="21"/>
      <c r="F53" s="22" t="str">
        <f aca="false">IF(A53="","",SUM(B53:E53))</f>
        <v/>
      </c>
      <c r="G53" s="23" t="str">
        <f aca="false">IF(A53="","",B53*Premissas!$C$4+C53*Premissas!$C$7+D53*Premissas!$C$6+E53*Premissas!$C$5)</f>
        <v/>
      </c>
      <c r="H53" s="24" t="str">
        <f aca="false">IF(A53="","",DATE(YEAR(A53),MONTH(A53),1))</f>
        <v/>
      </c>
    </row>
    <row r="54" customFormat="false" ht="14.25" hidden="false" customHeight="false" outlineLevel="0" collapsed="false">
      <c r="A54" s="20"/>
      <c r="B54" s="21"/>
      <c r="C54" s="21"/>
      <c r="D54" s="21"/>
      <c r="E54" s="21"/>
      <c r="F54" s="22" t="str">
        <f aca="false">IF(A54="","",SUM(B54:E54))</f>
        <v/>
      </c>
      <c r="G54" s="23" t="str">
        <f aca="false">IF(A54="","",B54*Premissas!$C$4+C54*Premissas!$C$7+D54*Premissas!$C$6+E54*Premissas!$C$5)</f>
        <v/>
      </c>
      <c r="H54" s="24" t="str">
        <f aca="false">IF(A54="","",DATE(YEAR(A54),MONTH(A54),1))</f>
        <v/>
      </c>
    </row>
    <row r="55" customFormat="false" ht="14.25" hidden="false" customHeight="false" outlineLevel="0" collapsed="false">
      <c r="A55" s="20"/>
      <c r="B55" s="21"/>
      <c r="C55" s="21"/>
      <c r="D55" s="21"/>
      <c r="E55" s="21"/>
      <c r="F55" s="22" t="str">
        <f aca="false">IF(A55="","",SUM(B55:E55))</f>
        <v/>
      </c>
      <c r="G55" s="23" t="str">
        <f aca="false">IF(A55="","",B55*Premissas!$C$4+C55*Premissas!$C$7+D55*Premissas!$C$6+E55*Premissas!$C$5)</f>
        <v/>
      </c>
      <c r="H55" s="24" t="str">
        <f aca="false">IF(A55="","",DATE(YEAR(A55),MONTH(A55),1))</f>
        <v/>
      </c>
    </row>
    <row r="56" customFormat="false" ht="14.25" hidden="false" customHeight="false" outlineLevel="0" collapsed="false">
      <c r="A56" s="20"/>
      <c r="B56" s="21"/>
      <c r="C56" s="21"/>
      <c r="D56" s="21"/>
      <c r="E56" s="21"/>
      <c r="F56" s="22" t="str">
        <f aca="false">IF(A56="","",SUM(B56:E56))</f>
        <v/>
      </c>
      <c r="G56" s="23" t="str">
        <f aca="false">IF(A56="","",B56*Premissas!$C$4+C56*Premissas!$C$7+D56*Premissas!$C$6+E56*Premissas!$C$5)</f>
        <v/>
      </c>
      <c r="H56" s="24" t="str">
        <f aca="false">IF(A56="","",DATE(YEAR(A56),MONTH(A56),1))</f>
        <v/>
      </c>
    </row>
    <row r="57" customFormat="false" ht="14.25" hidden="false" customHeight="false" outlineLevel="0" collapsed="false">
      <c r="A57" s="20"/>
      <c r="B57" s="21"/>
      <c r="C57" s="21"/>
      <c r="D57" s="21"/>
      <c r="E57" s="21"/>
      <c r="F57" s="22" t="str">
        <f aca="false">IF(A57="","",SUM(B57:E57))</f>
        <v/>
      </c>
      <c r="G57" s="23" t="str">
        <f aca="false">IF(A57="","",B57*Premissas!$C$4+C57*Premissas!$C$7+D57*Premissas!$C$6+E57*Premissas!$C$5)</f>
        <v/>
      </c>
      <c r="H57" s="24" t="str">
        <f aca="false">IF(A57="","",DATE(YEAR(A57),MONTH(A57),1))</f>
        <v/>
      </c>
    </row>
    <row r="58" customFormat="false" ht="14.25" hidden="false" customHeight="false" outlineLevel="0" collapsed="false">
      <c r="A58" s="20"/>
      <c r="B58" s="21"/>
      <c r="C58" s="21"/>
      <c r="D58" s="21"/>
      <c r="E58" s="21"/>
      <c r="F58" s="22" t="str">
        <f aca="false">IF(A58="","",SUM(B58:E58))</f>
        <v/>
      </c>
      <c r="G58" s="23" t="str">
        <f aca="false">IF(A58="","",B58*Premissas!$C$4+C58*Premissas!$C$7+D58*Premissas!$C$6+E58*Premissas!$C$5)</f>
        <v/>
      </c>
      <c r="H58" s="24" t="str">
        <f aca="false">IF(A58="","",DATE(YEAR(A58),MONTH(A58),1))</f>
        <v/>
      </c>
    </row>
    <row r="59" customFormat="false" ht="14.25" hidden="false" customHeight="false" outlineLevel="0" collapsed="false">
      <c r="A59" s="20"/>
      <c r="B59" s="21"/>
      <c r="C59" s="21"/>
      <c r="D59" s="21"/>
      <c r="E59" s="21"/>
      <c r="F59" s="22" t="str">
        <f aca="false">IF(A59="","",SUM(B59:E59))</f>
        <v/>
      </c>
      <c r="G59" s="23" t="str">
        <f aca="false">IF(A59="","",B59*Premissas!$C$4+C59*Premissas!$C$7+D59*Premissas!$C$6+E59*Premissas!$C$5)</f>
        <v/>
      </c>
      <c r="H59" s="24" t="str">
        <f aca="false">IF(A59="","",DATE(YEAR(A59),MONTH(A59),1))</f>
        <v/>
      </c>
    </row>
    <row r="60" customFormat="false" ht="14.25" hidden="false" customHeight="false" outlineLevel="0" collapsed="false">
      <c r="A60" s="20"/>
      <c r="B60" s="21"/>
      <c r="C60" s="21"/>
      <c r="D60" s="21"/>
      <c r="E60" s="21"/>
      <c r="F60" s="22" t="str">
        <f aca="false">IF(A60="","",SUM(B60:E60))</f>
        <v/>
      </c>
      <c r="G60" s="23" t="str">
        <f aca="false">IF(A60="","",B60*Premissas!$C$4+C60*Premissas!$C$7+D60*Premissas!$C$6+E60*Premissas!$C$5)</f>
        <v/>
      </c>
      <c r="H60" s="24" t="str">
        <f aca="false">IF(A60="","",DATE(YEAR(A60),MONTH(A60),1))</f>
        <v/>
      </c>
    </row>
    <row r="61" customFormat="false" ht="14.25" hidden="false" customHeight="false" outlineLevel="0" collapsed="false">
      <c r="A61" s="20"/>
      <c r="B61" s="21"/>
      <c r="C61" s="21"/>
      <c r="D61" s="21"/>
      <c r="E61" s="21"/>
      <c r="F61" s="22" t="str">
        <f aca="false">IF(A61="","",SUM(B61:E61))</f>
        <v/>
      </c>
      <c r="G61" s="23" t="str">
        <f aca="false">IF(A61="","",B61*Premissas!$C$4+C61*Premissas!$C$7+D61*Premissas!$C$6+E61*Premissas!$C$5)</f>
        <v/>
      </c>
      <c r="H61" s="24" t="str">
        <f aca="false">IF(A61="","",DATE(YEAR(A61),MONTH(A61),1))</f>
        <v/>
      </c>
    </row>
    <row r="62" customFormat="false" ht="14.25" hidden="false" customHeight="false" outlineLevel="0" collapsed="false">
      <c r="A62" s="20"/>
      <c r="B62" s="21"/>
      <c r="C62" s="21"/>
      <c r="D62" s="21"/>
      <c r="E62" s="21"/>
      <c r="F62" s="22" t="str">
        <f aca="false">IF(A62="","",SUM(B62:E62))</f>
        <v/>
      </c>
      <c r="G62" s="23" t="str">
        <f aca="false">IF(A62="","",B62*Premissas!$C$4+C62*Premissas!$C$7+D62*Premissas!$C$6+E62*Premissas!$C$5)</f>
        <v/>
      </c>
      <c r="H62" s="24" t="str">
        <f aca="false">IF(A62="","",DATE(YEAR(A62),MONTH(A62),1))</f>
        <v/>
      </c>
    </row>
    <row r="63" customFormat="false" ht="14.25" hidden="false" customHeight="false" outlineLevel="0" collapsed="false">
      <c r="A63" s="20"/>
      <c r="B63" s="21"/>
      <c r="C63" s="21"/>
      <c r="D63" s="21"/>
      <c r="E63" s="21"/>
      <c r="F63" s="22" t="str">
        <f aca="false">IF(A63="","",SUM(B63:E63))</f>
        <v/>
      </c>
      <c r="G63" s="23" t="str">
        <f aca="false">IF(A63="","",B63*Premissas!$C$4+C63*Premissas!$C$7+D63*Premissas!$C$6+E63*Premissas!$C$5)</f>
        <v/>
      </c>
      <c r="H63" s="24" t="str">
        <f aca="false">IF(A63="","",DATE(YEAR(A63),MONTH(A63),1))</f>
        <v/>
      </c>
    </row>
    <row r="64" customFormat="false" ht="14.25" hidden="false" customHeight="false" outlineLevel="0" collapsed="false">
      <c r="A64" s="20"/>
      <c r="B64" s="21"/>
      <c r="C64" s="21"/>
      <c r="D64" s="21"/>
      <c r="E64" s="21"/>
      <c r="F64" s="22" t="str">
        <f aca="false">IF(A64="","",SUM(B64:E64))</f>
        <v/>
      </c>
      <c r="G64" s="23" t="str">
        <f aca="false">IF(A64="","",B64*Premissas!$C$4+C64*Premissas!$C$7+D64*Premissas!$C$6+E64*Premissas!$C$5)</f>
        <v/>
      </c>
      <c r="H64" s="24" t="str">
        <f aca="false">IF(A64="","",DATE(YEAR(A64),MONTH(A64),1))</f>
        <v/>
      </c>
    </row>
    <row r="65" customFormat="false" ht="14.25" hidden="false" customHeight="false" outlineLevel="0" collapsed="false">
      <c r="A65" s="20"/>
      <c r="B65" s="21"/>
      <c r="C65" s="21"/>
      <c r="D65" s="21"/>
      <c r="E65" s="21"/>
      <c r="F65" s="22" t="str">
        <f aca="false">IF(A65="","",SUM(B65:E65))</f>
        <v/>
      </c>
      <c r="G65" s="23" t="str">
        <f aca="false">IF(A65="","",B65*Premissas!$C$4+C65*Premissas!$C$7+D65*Premissas!$C$6+E65*Premissas!$C$5)</f>
        <v/>
      </c>
      <c r="H65" s="24" t="str">
        <f aca="false">IF(A65="","",DATE(YEAR(A65),MONTH(A65),1))</f>
        <v/>
      </c>
    </row>
    <row r="66" customFormat="false" ht="14.25" hidden="false" customHeight="false" outlineLevel="0" collapsed="false">
      <c r="A66" s="20"/>
      <c r="B66" s="21"/>
      <c r="C66" s="21"/>
      <c r="D66" s="21"/>
      <c r="E66" s="21"/>
      <c r="F66" s="22" t="str">
        <f aca="false">IF(A66="","",SUM(B66:E66))</f>
        <v/>
      </c>
      <c r="G66" s="23" t="str">
        <f aca="false">IF(A66="","",B66*Premissas!$C$4+C66*Premissas!$C$7+D66*Premissas!$C$6+E66*Premissas!$C$5)</f>
        <v/>
      </c>
      <c r="H66" s="24" t="str">
        <f aca="false">IF(A66="","",DATE(YEAR(A66),MONTH(A66),1))</f>
        <v/>
      </c>
    </row>
    <row r="67" customFormat="false" ht="14.25" hidden="false" customHeight="false" outlineLevel="0" collapsed="false">
      <c r="A67" s="20"/>
      <c r="B67" s="21"/>
      <c r="C67" s="21"/>
      <c r="D67" s="21"/>
      <c r="E67" s="21"/>
      <c r="F67" s="22" t="str">
        <f aca="false">IF(A67="","",SUM(B67:E67))</f>
        <v/>
      </c>
      <c r="G67" s="23" t="str">
        <f aca="false">IF(A67="","",B67*Premissas!$C$4+C67*Premissas!$C$7+D67*Premissas!$C$6+E67*Premissas!$C$5)</f>
        <v/>
      </c>
      <c r="H67" s="24" t="str">
        <f aca="false">IF(A67="","",DATE(YEAR(A67),MONTH(A67),1))</f>
        <v/>
      </c>
    </row>
    <row r="68" customFormat="false" ht="14.25" hidden="false" customHeight="false" outlineLevel="0" collapsed="false">
      <c r="A68" s="20"/>
      <c r="B68" s="21"/>
      <c r="C68" s="21"/>
      <c r="D68" s="21"/>
      <c r="E68" s="21"/>
      <c r="F68" s="22" t="str">
        <f aca="false">IF(A68="","",SUM(B68:E68))</f>
        <v/>
      </c>
      <c r="G68" s="23" t="str">
        <f aca="false">IF(A68="","",B68*Premissas!$C$4+C68*Premissas!$C$7+D68*Premissas!$C$6+E68*Premissas!$C$5)</f>
        <v/>
      </c>
      <c r="H68" s="24" t="str">
        <f aca="false">IF(A68="","",DATE(YEAR(A68),MONTH(A68),1))</f>
        <v/>
      </c>
    </row>
    <row r="69" customFormat="false" ht="14.25" hidden="false" customHeight="false" outlineLevel="0" collapsed="false">
      <c r="A69" s="20"/>
      <c r="B69" s="21"/>
      <c r="C69" s="21"/>
      <c r="D69" s="21"/>
      <c r="E69" s="21"/>
      <c r="F69" s="22" t="str">
        <f aca="false">IF(A69="","",SUM(B69:E69))</f>
        <v/>
      </c>
      <c r="G69" s="23" t="str">
        <f aca="false">IF(A69="","",B69*Premissas!$C$4+C69*Premissas!$C$7+D69*Premissas!$C$6+E69*Premissas!$C$5)</f>
        <v/>
      </c>
      <c r="H69" s="24" t="str">
        <f aca="false">IF(A69="","",DATE(YEAR(A69),MONTH(A69),1))</f>
        <v/>
      </c>
    </row>
    <row r="70" customFormat="false" ht="14.25" hidden="false" customHeight="false" outlineLevel="0" collapsed="false">
      <c r="A70" s="20"/>
      <c r="B70" s="21"/>
      <c r="C70" s="21"/>
      <c r="D70" s="21"/>
      <c r="E70" s="21"/>
      <c r="F70" s="22" t="str">
        <f aca="false">IF(A70="","",SUM(B70:E70))</f>
        <v/>
      </c>
      <c r="G70" s="23" t="str">
        <f aca="false">IF(A70="","",B70*Premissas!$C$4+C70*Premissas!$C$7+D70*Premissas!$C$6+E70*Premissas!$C$5)</f>
        <v/>
      </c>
      <c r="H70" s="24" t="str">
        <f aca="false">IF(A70="","",DATE(YEAR(A70),MONTH(A70),1))</f>
        <v/>
      </c>
    </row>
    <row r="71" customFormat="false" ht="14.25" hidden="false" customHeight="false" outlineLevel="0" collapsed="false">
      <c r="A71" s="20"/>
      <c r="B71" s="21"/>
      <c r="C71" s="21"/>
      <c r="D71" s="21"/>
      <c r="E71" s="21"/>
      <c r="F71" s="22" t="str">
        <f aca="false">IF(A71="","",SUM(B71:E71))</f>
        <v/>
      </c>
      <c r="G71" s="23" t="str">
        <f aca="false">IF(A71="","",B71*Premissas!$C$4+C71*Premissas!$C$7+D71*Premissas!$C$6+E71*Premissas!$C$5)</f>
        <v/>
      </c>
      <c r="H71" s="24" t="str">
        <f aca="false">IF(A71="","",DATE(YEAR(A71),MONTH(A71),1))</f>
        <v/>
      </c>
    </row>
    <row r="72" customFormat="false" ht="14.25" hidden="false" customHeight="false" outlineLevel="0" collapsed="false">
      <c r="A72" s="20"/>
      <c r="B72" s="21"/>
      <c r="C72" s="21"/>
      <c r="D72" s="21"/>
      <c r="E72" s="21"/>
      <c r="F72" s="22" t="str">
        <f aca="false">IF(A72="","",SUM(B72:E72))</f>
        <v/>
      </c>
      <c r="G72" s="23" t="str">
        <f aca="false">IF(A72="","",B72*Premissas!$C$4+C72*Premissas!$C$7+D72*Premissas!$C$6+E72*Premissas!$C$5)</f>
        <v/>
      </c>
      <c r="H72" s="24" t="str">
        <f aca="false">IF(A72="","",DATE(YEAR(A72),MONTH(A72),1))</f>
        <v/>
      </c>
    </row>
    <row r="73" customFormat="false" ht="14.25" hidden="false" customHeight="false" outlineLevel="0" collapsed="false">
      <c r="A73" s="20"/>
      <c r="B73" s="21"/>
      <c r="C73" s="21"/>
      <c r="D73" s="21"/>
      <c r="E73" s="21"/>
      <c r="F73" s="22" t="str">
        <f aca="false">IF(A73="","",SUM(B73:E73))</f>
        <v/>
      </c>
      <c r="G73" s="23" t="str">
        <f aca="false">IF(A73="","",B73*Premissas!$C$4+C73*Premissas!$C$7+D73*Premissas!$C$6+E73*Premissas!$C$5)</f>
        <v/>
      </c>
      <c r="H73" s="24" t="str">
        <f aca="false">IF(A73="","",DATE(YEAR(A73),MONTH(A73),1))</f>
        <v/>
      </c>
    </row>
    <row r="74" customFormat="false" ht="14.25" hidden="false" customHeight="false" outlineLevel="0" collapsed="false">
      <c r="A74" s="20"/>
      <c r="B74" s="21"/>
      <c r="C74" s="21"/>
      <c r="D74" s="21"/>
      <c r="E74" s="21"/>
      <c r="F74" s="22" t="str">
        <f aca="false">IF(A74="","",SUM(B74:E74))</f>
        <v/>
      </c>
      <c r="G74" s="23" t="str">
        <f aca="false">IF(A74="","",B74*Premissas!$C$4+C74*Premissas!$C$7+D74*Premissas!$C$6+E74*Premissas!$C$5)</f>
        <v/>
      </c>
      <c r="H74" s="24" t="str">
        <f aca="false">IF(A74="","",DATE(YEAR(A74),MONTH(A74),1))</f>
        <v/>
      </c>
    </row>
    <row r="75" customFormat="false" ht="14.25" hidden="false" customHeight="false" outlineLevel="0" collapsed="false">
      <c r="A75" s="20"/>
      <c r="B75" s="21"/>
      <c r="C75" s="21"/>
      <c r="D75" s="21"/>
      <c r="E75" s="21"/>
      <c r="F75" s="22" t="str">
        <f aca="false">IF(A75="","",SUM(B75:E75))</f>
        <v/>
      </c>
      <c r="G75" s="23" t="str">
        <f aca="false">IF(A75="","",B75*Premissas!$C$4+C75*Premissas!$C$7+D75*Premissas!$C$6+E75*Premissas!$C$5)</f>
        <v/>
      </c>
      <c r="H75" s="24" t="str">
        <f aca="false">IF(A75="","",DATE(YEAR(A75),MONTH(A75),1))</f>
        <v/>
      </c>
    </row>
    <row r="76" customFormat="false" ht="14.25" hidden="false" customHeight="false" outlineLevel="0" collapsed="false">
      <c r="A76" s="20"/>
      <c r="B76" s="21"/>
      <c r="C76" s="21"/>
      <c r="D76" s="21"/>
      <c r="E76" s="21"/>
      <c r="F76" s="22" t="str">
        <f aca="false">IF(A76="","",SUM(B76:E76))</f>
        <v/>
      </c>
      <c r="G76" s="23" t="str">
        <f aca="false">IF(A76="","",B76*Premissas!$C$4+C76*Premissas!$C$7+D76*Premissas!$C$6+E76*Premissas!$C$5)</f>
        <v/>
      </c>
      <c r="H76" s="24" t="str">
        <f aca="false">IF(A76="","",DATE(YEAR(A76),MONTH(A76),1))</f>
        <v/>
      </c>
    </row>
    <row r="77" customFormat="false" ht="14.25" hidden="false" customHeight="false" outlineLevel="0" collapsed="false">
      <c r="A77" s="20"/>
      <c r="B77" s="21"/>
      <c r="C77" s="21"/>
      <c r="D77" s="21"/>
      <c r="E77" s="21"/>
      <c r="F77" s="22" t="str">
        <f aca="false">IF(A77="","",SUM(B77:E77))</f>
        <v/>
      </c>
      <c r="G77" s="23" t="str">
        <f aca="false">IF(A77="","",B77*Premissas!$C$4+C77*Premissas!$C$7+D77*Premissas!$C$6+E77*Premissas!$C$5)</f>
        <v/>
      </c>
      <c r="H77" s="24" t="str">
        <f aca="false">IF(A77="","",DATE(YEAR(A77),MONTH(A77),1))</f>
        <v/>
      </c>
    </row>
    <row r="78" customFormat="false" ht="14.25" hidden="false" customHeight="false" outlineLevel="0" collapsed="false">
      <c r="A78" s="20"/>
      <c r="B78" s="21"/>
      <c r="C78" s="21"/>
      <c r="D78" s="21"/>
      <c r="E78" s="21"/>
      <c r="F78" s="22" t="str">
        <f aca="false">IF(A78="","",SUM(B78:E78))</f>
        <v/>
      </c>
      <c r="G78" s="23" t="str">
        <f aca="false">IF(A78="","",B78*Premissas!$C$4+C78*Premissas!$C$7+D78*Premissas!$C$6+E78*Premissas!$C$5)</f>
        <v/>
      </c>
      <c r="H78" s="24" t="str">
        <f aca="false">IF(A78="","",DATE(YEAR(A78),MONTH(A78),1))</f>
        <v/>
      </c>
    </row>
    <row r="79" customFormat="false" ht="14.25" hidden="false" customHeight="false" outlineLevel="0" collapsed="false">
      <c r="A79" s="20"/>
      <c r="B79" s="21"/>
      <c r="C79" s="21"/>
      <c r="D79" s="21"/>
      <c r="E79" s="21"/>
      <c r="F79" s="22" t="str">
        <f aca="false">IF(A79="","",SUM(B79:E79))</f>
        <v/>
      </c>
      <c r="G79" s="23" t="str">
        <f aca="false">IF(A79="","",B79*Premissas!$C$4+C79*Premissas!$C$7+D79*Premissas!$C$6+E79*Premissas!$C$5)</f>
        <v/>
      </c>
      <c r="H79" s="24" t="str">
        <f aca="false">IF(A79="","",DATE(YEAR(A79),MONTH(A79),1))</f>
        <v/>
      </c>
    </row>
    <row r="80" customFormat="false" ht="14.25" hidden="false" customHeight="false" outlineLevel="0" collapsed="false">
      <c r="A80" s="20"/>
      <c r="B80" s="21"/>
      <c r="C80" s="21"/>
      <c r="D80" s="21"/>
      <c r="E80" s="21"/>
      <c r="F80" s="22" t="str">
        <f aca="false">IF(A80="","",SUM(B80:E80))</f>
        <v/>
      </c>
      <c r="G80" s="23" t="str">
        <f aca="false">IF(A80="","",B80*Premissas!$C$4+C80*Premissas!$C$7+D80*Premissas!$C$6+E80*Premissas!$C$5)</f>
        <v/>
      </c>
      <c r="H80" s="24" t="str">
        <f aca="false">IF(A80="","",DATE(YEAR(A80),MONTH(A80),1))</f>
        <v/>
      </c>
    </row>
    <row r="81" customFormat="false" ht="14.25" hidden="false" customHeight="false" outlineLevel="0" collapsed="false">
      <c r="A81" s="20"/>
      <c r="B81" s="21"/>
      <c r="C81" s="21"/>
      <c r="D81" s="21"/>
      <c r="E81" s="21"/>
      <c r="F81" s="22" t="str">
        <f aca="false">IF(A81="","",SUM(B81:E81))</f>
        <v/>
      </c>
      <c r="G81" s="23" t="str">
        <f aca="false">IF(A81="","",B81*Premissas!$C$4+C81*Premissas!$C$7+D81*Premissas!$C$6+E81*Premissas!$C$5)</f>
        <v/>
      </c>
      <c r="H81" s="24" t="str">
        <f aca="false">IF(A81="","",DATE(YEAR(A81),MONTH(A81),1))</f>
        <v/>
      </c>
    </row>
    <row r="82" customFormat="false" ht="14.25" hidden="false" customHeight="false" outlineLevel="0" collapsed="false">
      <c r="A82" s="20"/>
      <c r="B82" s="21"/>
      <c r="C82" s="21"/>
      <c r="D82" s="21"/>
      <c r="E82" s="21"/>
      <c r="F82" s="22" t="str">
        <f aca="false">IF(A82="","",SUM(B82:E82))</f>
        <v/>
      </c>
      <c r="G82" s="23" t="str">
        <f aca="false">IF(A82="","",B82*Premissas!$C$4+C82*Premissas!$C$7+D82*Premissas!$C$6+E82*Premissas!$C$5)</f>
        <v/>
      </c>
      <c r="H82" s="24" t="str">
        <f aca="false">IF(A82="","",DATE(YEAR(A82),MONTH(A82),1))</f>
        <v/>
      </c>
    </row>
    <row r="83" customFormat="false" ht="14.25" hidden="false" customHeight="false" outlineLevel="0" collapsed="false">
      <c r="A83" s="20"/>
      <c r="B83" s="21"/>
      <c r="C83" s="21"/>
      <c r="D83" s="21"/>
      <c r="E83" s="21"/>
      <c r="F83" s="22" t="str">
        <f aca="false">IF(A83="","",SUM(B83:E83))</f>
        <v/>
      </c>
      <c r="G83" s="23" t="str">
        <f aca="false">IF(A83="","",B83*Premissas!$C$4+C83*Premissas!$C$7+D83*Premissas!$C$6+E83*Premissas!$C$5)</f>
        <v/>
      </c>
      <c r="H83" s="24" t="str">
        <f aca="false">IF(A83="","",DATE(YEAR(A83),MONTH(A83),1))</f>
        <v/>
      </c>
    </row>
    <row r="84" customFormat="false" ht="14.25" hidden="false" customHeight="false" outlineLevel="0" collapsed="false">
      <c r="A84" s="20"/>
      <c r="B84" s="21"/>
      <c r="C84" s="21"/>
      <c r="D84" s="21"/>
      <c r="E84" s="21"/>
      <c r="F84" s="22" t="str">
        <f aca="false">IF(A84="","",SUM(B84:E84))</f>
        <v/>
      </c>
      <c r="G84" s="23" t="str">
        <f aca="false">IF(A84="","",B84*Premissas!$C$4+C84*Premissas!$C$7+D84*Premissas!$C$6+E84*Premissas!$C$5)</f>
        <v/>
      </c>
      <c r="H84" s="24" t="str">
        <f aca="false">IF(A84="","",DATE(YEAR(A84),MONTH(A84),1))</f>
        <v/>
      </c>
    </row>
    <row r="85" customFormat="false" ht="14.25" hidden="false" customHeight="false" outlineLevel="0" collapsed="false">
      <c r="A85" s="20"/>
      <c r="B85" s="21"/>
      <c r="C85" s="21"/>
      <c r="D85" s="21"/>
      <c r="E85" s="21"/>
      <c r="F85" s="22" t="str">
        <f aca="false">IF(A85="","",SUM(B85:E85))</f>
        <v/>
      </c>
      <c r="G85" s="23" t="str">
        <f aca="false">IF(A85="","",B85*Premissas!$C$4+C85*Premissas!$C$7+D85*Premissas!$C$6+E85*Premissas!$C$5)</f>
        <v/>
      </c>
      <c r="H85" s="24" t="str">
        <f aca="false">IF(A85="","",DATE(YEAR(A85),MONTH(A85),1))</f>
        <v/>
      </c>
    </row>
    <row r="86" customFormat="false" ht="14.25" hidden="false" customHeight="false" outlineLevel="0" collapsed="false">
      <c r="A86" s="20"/>
      <c r="B86" s="21"/>
      <c r="C86" s="21"/>
      <c r="D86" s="21"/>
      <c r="E86" s="21"/>
      <c r="F86" s="22" t="str">
        <f aca="false">IF(A86="","",SUM(B86:E86))</f>
        <v/>
      </c>
      <c r="G86" s="23" t="str">
        <f aca="false">IF(A86="","",B86*Premissas!$C$4+C86*Premissas!$C$7+D86*Premissas!$C$6+E86*Premissas!$C$5)</f>
        <v/>
      </c>
      <c r="H86" s="24" t="str">
        <f aca="false">IF(A86="","",DATE(YEAR(A86),MONTH(A86),1))</f>
        <v/>
      </c>
    </row>
    <row r="87" customFormat="false" ht="14.25" hidden="false" customHeight="false" outlineLevel="0" collapsed="false">
      <c r="A87" s="20"/>
      <c r="B87" s="21"/>
      <c r="C87" s="21"/>
      <c r="D87" s="21"/>
      <c r="E87" s="21"/>
      <c r="F87" s="22" t="str">
        <f aca="false">IF(A87="","",SUM(B87:E87))</f>
        <v/>
      </c>
      <c r="G87" s="23" t="str">
        <f aca="false">IF(A87="","",B87*Premissas!$C$4+C87*Premissas!$C$7+D87*Premissas!$C$6+E87*Premissas!$C$5)</f>
        <v/>
      </c>
      <c r="H87" s="24" t="str">
        <f aca="false">IF(A87="","",DATE(YEAR(A87),MONTH(A87),1))</f>
        <v/>
      </c>
    </row>
    <row r="88" customFormat="false" ht="14.25" hidden="false" customHeight="false" outlineLevel="0" collapsed="false">
      <c r="A88" s="20"/>
      <c r="B88" s="21"/>
      <c r="C88" s="21"/>
      <c r="D88" s="21"/>
      <c r="E88" s="21"/>
      <c r="F88" s="22" t="str">
        <f aca="false">IF(A88="","",SUM(B88:E88))</f>
        <v/>
      </c>
      <c r="G88" s="23" t="str">
        <f aca="false">IF(A88="","",B88*Premissas!$C$4+C88*Premissas!$C$7+D88*Premissas!$C$6+E88*Premissas!$C$5)</f>
        <v/>
      </c>
      <c r="H88" s="24" t="str">
        <f aca="false">IF(A88="","",DATE(YEAR(A88),MONTH(A88),1))</f>
        <v/>
      </c>
    </row>
    <row r="89" customFormat="false" ht="14.25" hidden="false" customHeight="false" outlineLevel="0" collapsed="false">
      <c r="A89" s="20"/>
      <c r="B89" s="21"/>
      <c r="C89" s="21"/>
      <c r="D89" s="21"/>
      <c r="E89" s="21"/>
      <c r="F89" s="22" t="str">
        <f aca="false">IF(A89="","",SUM(B89:E89))</f>
        <v/>
      </c>
      <c r="G89" s="23" t="str">
        <f aca="false">IF(A89="","",B89*Premissas!$C$4+C89*Premissas!$C$7+D89*Premissas!$C$6+E89*Premissas!$C$5)</f>
        <v/>
      </c>
      <c r="H89" s="24" t="str">
        <f aca="false">IF(A89="","",DATE(YEAR(A89),MONTH(A89),1))</f>
        <v/>
      </c>
    </row>
    <row r="90" customFormat="false" ht="14.25" hidden="false" customHeight="false" outlineLevel="0" collapsed="false">
      <c r="A90" s="20"/>
      <c r="B90" s="21"/>
      <c r="C90" s="21"/>
      <c r="D90" s="21"/>
      <c r="E90" s="21"/>
      <c r="F90" s="22" t="str">
        <f aca="false">IF(A90="","",SUM(B90:E90))</f>
        <v/>
      </c>
      <c r="G90" s="23" t="str">
        <f aca="false">IF(A90="","",B90*Premissas!$C$4+C90*Premissas!$C$7+D90*Premissas!$C$6+E90*Premissas!$C$5)</f>
        <v/>
      </c>
      <c r="H90" s="24" t="str">
        <f aca="false">IF(A90="","",DATE(YEAR(A90),MONTH(A90),1))</f>
        <v/>
      </c>
    </row>
    <row r="91" customFormat="false" ht="14.25" hidden="false" customHeight="false" outlineLevel="0" collapsed="false">
      <c r="A91" s="20"/>
      <c r="B91" s="21"/>
      <c r="C91" s="21"/>
      <c r="D91" s="21"/>
      <c r="E91" s="21"/>
      <c r="F91" s="22" t="str">
        <f aca="false">IF(A91="","",SUM(B91:E91))</f>
        <v/>
      </c>
      <c r="G91" s="23" t="str">
        <f aca="false">IF(A91="","",B91*Premissas!$C$4+C91*Premissas!$C$7+D91*Premissas!$C$6+E91*Premissas!$C$5)</f>
        <v/>
      </c>
      <c r="H91" s="24" t="str">
        <f aca="false">IF(A91="","",DATE(YEAR(A91),MONTH(A91),1))</f>
        <v/>
      </c>
    </row>
    <row r="92" customFormat="false" ht="14.25" hidden="false" customHeight="false" outlineLevel="0" collapsed="false">
      <c r="A92" s="20"/>
      <c r="B92" s="21"/>
      <c r="C92" s="21"/>
      <c r="D92" s="21"/>
      <c r="E92" s="21"/>
      <c r="F92" s="22" t="str">
        <f aca="false">IF(A92="","",SUM(B92:E92))</f>
        <v/>
      </c>
      <c r="G92" s="23" t="str">
        <f aca="false">IF(A92="","",B92*Premissas!$C$4+C92*Premissas!$C$7+D92*Premissas!$C$6+E92*Premissas!$C$5)</f>
        <v/>
      </c>
      <c r="H92" s="24" t="str">
        <f aca="false">IF(A92="","",DATE(YEAR(A92),MONTH(A92),1))</f>
        <v/>
      </c>
    </row>
    <row r="93" customFormat="false" ht="14.25" hidden="false" customHeight="false" outlineLevel="0" collapsed="false">
      <c r="A93" s="20"/>
      <c r="B93" s="21"/>
      <c r="C93" s="21"/>
      <c r="D93" s="21"/>
      <c r="E93" s="21"/>
      <c r="F93" s="22" t="str">
        <f aca="false">IF(A93="","",SUM(B93:E93))</f>
        <v/>
      </c>
      <c r="G93" s="23" t="str">
        <f aca="false">IF(A93="","",B93*Premissas!$C$4+C93*Premissas!$C$7+D93*Premissas!$C$6+E93*Premissas!$C$5)</f>
        <v/>
      </c>
      <c r="H93" s="24" t="str">
        <f aca="false">IF(A93="","",DATE(YEAR(A93),MONTH(A93),1))</f>
        <v/>
      </c>
    </row>
    <row r="94" customFormat="false" ht="14.25" hidden="false" customHeight="false" outlineLevel="0" collapsed="false">
      <c r="A94" s="20"/>
      <c r="B94" s="21"/>
      <c r="C94" s="21"/>
      <c r="D94" s="21"/>
      <c r="E94" s="21"/>
      <c r="F94" s="22" t="str">
        <f aca="false">IF(A94="","",SUM(B94:E94))</f>
        <v/>
      </c>
      <c r="G94" s="23" t="str">
        <f aca="false">IF(A94="","",B94*Premissas!$C$4+C94*Premissas!$C$7+D94*Premissas!$C$6+E94*Premissas!$C$5)</f>
        <v/>
      </c>
      <c r="H94" s="24" t="str">
        <f aca="false">IF(A94="","",DATE(YEAR(A94),MONTH(A94),1))</f>
        <v/>
      </c>
    </row>
    <row r="95" customFormat="false" ht="14.25" hidden="false" customHeight="false" outlineLevel="0" collapsed="false">
      <c r="A95" s="20"/>
      <c r="B95" s="21"/>
      <c r="C95" s="21"/>
      <c r="D95" s="21"/>
      <c r="E95" s="21"/>
      <c r="F95" s="22" t="str">
        <f aca="false">IF(A95="","",SUM(B95:E95))</f>
        <v/>
      </c>
      <c r="G95" s="23" t="str">
        <f aca="false">IF(A95="","",B95*Premissas!$C$4+C95*Premissas!$C$7+D95*Premissas!$C$6+E95*Premissas!$C$5)</f>
        <v/>
      </c>
      <c r="H95" s="24" t="str">
        <f aca="false">IF(A95="","",DATE(YEAR(A95),MONTH(A95),1))</f>
        <v/>
      </c>
    </row>
    <row r="96" customFormat="false" ht="14.25" hidden="false" customHeight="false" outlineLevel="0" collapsed="false">
      <c r="A96" s="20"/>
      <c r="B96" s="21"/>
      <c r="C96" s="21"/>
      <c r="D96" s="21"/>
      <c r="E96" s="21"/>
      <c r="F96" s="22" t="str">
        <f aca="false">IF(A96="","",SUM(B96:E96))</f>
        <v/>
      </c>
      <c r="G96" s="23" t="str">
        <f aca="false">IF(A96="","",B96*Premissas!$C$4+C96*Premissas!$C$7+D96*Premissas!$C$6+E96*Premissas!$C$5)</f>
        <v/>
      </c>
      <c r="H96" s="24" t="str">
        <f aca="false">IF(A96="","",DATE(YEAR(A96),MONTH(A96),1))</f>
        <v/>
      </c>
    </row>
    <row r="97" customFormat="false" ht="14.25" hidden="false" customHeight="false" outlineLevel="0" collapsed="false">
      <c r="A97" s="20"/>
      <c r="B97" s="21"/>
      <c r="C97" s="21"/>
      <c r="D97" s="21"/>
      <c r="E97" s="21"/>
      <c r="F97" s="22" t="str">
        <f aca="false">IF(A97="","",SUM(B97:E97))</f>
        <v/>
      </c>
      <c r="G97" s="23" t="str">
        <f aca="false">IF(A97="","",B97*Premissas!$C$4+C97*Premissas!$C$7+D97*Premissas!$C$6+E97*Premissas!$C$5)</f>
        <v/>
      </c>
      <c r="H97" s="24" t="str">
        <f aca="false">IF(A97="","",DATE(YEAR(A97),MONTH(A97),1))</f>
        <v/>
      </c>
    </row>
    <row r="98" customFormat="false" ht="14.25" hidden="false" customHeight="false" outlineLevel="0" collapsed="false">
      <c r="A98" s="20"/>
      <c r="B98" s="21"/>
      <c r="C98" s="21"/>
      <c r="D98" s="21"/>
      <c r="E98" s="21"/>
      <c r="F98" s="22" t="str">
        <f aca="false">IF(A98="","",SUM(B98:E98))</f>
        <v/>
      </c>
      <c r="G98" s="23" t="str">
        <f aca="false">IF(A98="","",B98*Premissas!$C$4+C98*Premissas!$C$7+D98*Premissas!$C$6+E98*Premissas!$C$5)</f>
        <v/>
      </c>
      <c r="H98" s="24" t="str">
        <f aca="false">IF(A98="","",DATE(YEAR(A98),MONTH(A98),1))</f>
        <v/>
      </c>
    </row>
    <row r="99" customFormat="false" ht="14.25" hidden="false" customHeight="false" outlineLevel="0" collapsed="false">
      <c r="A99" s="20"/>
      <c r="B99" s="21"/>
      <c r="C99" s="21"/>
      <c r="D99" s="21"/>
      <c r="E99" s="21"/>
      <c r="F99" s="22" t="str">
        <f aca="false">IF(A99="","",SUM(B99:E99))</f>
        <v/>
      </c>
      <c r="G99" s="23" t="str">
        <f aca="false">IF(A99="","",B99*Premissas!$C$4+C99*Premissas!$C$7+D99*Premissas!$C$6+E99*Premissas!$C$5)</f>
        <v/>
      </c>
      <c r="H99" s="24" t="str">
        <f aca="false">IF(A99="","",DATE(YEAR(A99),MONTH(A99),1))</f>
        <v/>
      </c>
    </row>
    <row r="100" customFormat="false" ht="14.25" hidden="false" customHeight="false" outlineLevel="0" collapsed="false">
      <c r="A100" s="20"/>
      <c r="B100" s="21"/>
      <c r="C100" s="21"/>
      <c r="D100" s="21"/>
      <c r="E100" s="21"/>
      <c r="F100" s="22" t="str">
        <f aca="false">IF(A100="","",SUM(B100:E100))</f>
        <v/>
      </c>
      <c r="G100" s="23" t="str">
        <f aca="false">IF(A100="","",B100*Premissas!$C$4+C100*Premissas!$C$7+D100*Premissas!$C$6+E100*Premissas!$C$5)</f>
        <v/>
      </c>
      <c r="H100" s="24" t="str">
        <f aca="false">IF(A100="","",DATE(YEAR(A100),MONTH(A100),1))</f>
        <v/>
      </c>
    </row>
    <row r="101" customFormat="false" ht="14.25" hidden="false" customHeight="false" outlineLevel="0" collapsed="false">
      <c r="A101" s="20"/>
      <c r="B101" s="21"/>
      <c r="C101" s="21"/>
      <c r="D101" s="21"/>
      <c r="E101" s="21"/>
      <c r="F101" s="22" t="str">
        <f aca="false">IF(A101="","",SUM(B101:E101))</f>
        <v/>
      </c>
      <c r="G101" s="23" t="str">
        <f aca="false">IF(A101="","",B101*Premissas!$C$4+C101*Premissas!$C$7+D101*Premissas!$C$6+E101*Premissas!$C$5)</f>
        <v/>
      </c>
      <c r="H101" s="24" t="str">
        <f aca="false">IF(A101="","",DATE(YEAR(A101),MONTH(A101),1))</f>
        <v/>
      </c>
    </row>
    <row r="102" customFormat="false" ht="14.25" hidden="false" customHeight="false" outlineLevel="0" collapsed="false">
      <c r="A102" s="20"/>
      <c r="B102" s="21"/>
      <c r="C102" s="21"/>
      <c r="D102" s="21"/>
      <c r="E102" s="21"/>
      <c r="F102" s="22" t="str">
        <f aca="false">IF(A102="","",SUM(B102:E102))</f>
        <v/>
      </c>
      <c r="G102" s="23" t="str">
        <f aca="false">IF(A102="","",B102*Premissas!$C$4+C102*Premissas!$C$7+D102*Premissas!$C$6+E102*Premissas!$C$5)</f>
        <v/>
      </c>
      <c r="H102" s="24" t="str">
        <f aca="false">IF(A102="","",DATE(YEAR(A102),MONTH(A102),1))</f>
        <v/>
      </c>
    </row>
    <row r="103" customFormat="false" ht="14.25" hidden="false" customHeight="false" outlineLevel="0" collapsed="false">
      <c r="A103" s="20"/>
      <c r="B103" s="21"/>
      <c r="C103" s="21"/>
      <c r="D103" s="21"/>
      <c r="E103" s="21"/>
      <c r="F103" s="22" t="str">
        <f aca="false">IF(A103="","",SUM(B103:E103))</f>
        <v/>
      </c>
      <c r="G103" s="23" t="str">
        <f aca="false">IF(A103="","",B103*Premissas!$C$4+C103*Premissas!$C$7+D103*Premissas!$C$6+E103*Premissas!$C$5)</f>
        <v/>
      </c>
      <c r="H103" s="24" t="str">
        <f aca="false">IF(A103="","",DATE(YEAR(A103),MONTH(A103),1))</f>
        <v/>
      </c>
    </row>
    <row r="104" customFormat="false" ht="14.25" hidden="false" customHeight="false" outlineLevel="0" collapsed="false">
      <c r="A104" s="20"/>
      <c r="B104" s="21"/>
      <c r="C104" s="21"/>
      <c r="D104" s="21"/>
      <c r="E104" s="21"/>
      <c r="F104" s="22" t="str">
        <f aca="false">IF(A104="","",SUM(B104:E104))</f>
        <v/>
      </c>
      <c r="G104" s="23" t="str">
        <f aca="false">IF(A104="","",B104*Premissas!$C$4+C104*Premissas!$C$7+D104*Premissas!$C$6+E104*Premissas!$C$5)</f>
        <v/>
      </c>
      <c r="H104" s="24" t="str">
        <f aca="false">IF(A104="","",DATE(YEAR(A104),MONTH(A104),1))</f>
        <v/>
      </c>
    </row>
    <row r="105" customFormat="false" ht="14.25" hidden="false" customHeight="false" outlineLevel="0" collapsed="false">
      <c r="A105" s="20"/>
      <c r="B105" s="21"/>
      <c r="C105" s="21"/>
      <c r="D105" s="21"/>
      <c r="E105" s="21"/>
      <c r="F105" s="22" t="str">
        <f aca="false">IF(A105="","",SUM(B105:E105))</f>
        <v/>
      </c>
      <c r="G105" s="23" t="str">
        <f aca="false">IF(A105="","",B105*Premissas!$C$4+C105*Premissas!$C$7+D105*Premissas!$C$6+E105*Premissas!$C$5)</f>
        <v/>
      </c>
      <c r="H105" s="24" t="str">
        <f aca="false">IF(A105="","",DATE(YEAR(A105),MONTH(A105),1))</f>
        <v/>
      </c>
    </row>
    <row r="106" customFormat="false" ht="14.25" hidden="false" customHeight="false" outlineLevel="0" collapsed="false">
      <c r="A106" s="20"/>
      <c r="B106" s="21"/>
      <c r="C106" s="21"/>
      <c r="D106" s="21"/>
      <c r="E106" s="21"/>
      <c r="F106" s="22" t="str">
        <f aca="false">IF(A106="","",SUM(B106:E106))</f>
        <v/>
      </c>
      <c r="G106" s="23" t="str">
        <f aca="false">IF(A106="","",B106*Premissas!$C$4+C106*Premissas!$C$7+D106*Premissas!$C$6+E106*Premissas!$C$5)</f>
        <v/>
      </c>
      <c r="H106" s="24" t="str">
        <f aca="false">IF(A106="","",DATE(YEAR(A106),MONTH(A106),1))</f>
        <v/>
      </c>
    </row>
    <row r="107" customFormat="false" ht="14.25" hidden="false" customHeight="false" outlineLevel="0" collapsed="false">
      <c r="A107" s="20"/>
      <c r="B107" s="21"/>
      <c r="C107" s="21"/>
      <c r="D107" s="21"/>
      <c r="E107" s="21"/>
      <c r="F107" s="22" t="str">
        <f aca="false">IF(A107="","",SUM(B107:E107))</f>
        <v/>
      </c>
      <c r="G107" s="23" t="str">
        <f aca="false">IF(A107="","",B107*Premissas!$C$4+C107*Premissas!$C$7+D107*Premissas!$C$6+E107*Premissas!$C$5)</f>
        <v/>
      </c>
      <c r="H107" s="24" t="str">
        <f aca="false">IF(A107="","",DATE(YEAR(A107),MONTH(A107),1))</f>
        <v/>
      </c>
    </row>
    <row r="108" customFormat="false" ht="14.25" hidden="false" customHeight="false" outlineLevel="0" collapsed="false">
      <c r="A108" s="20"/>
      <c r="B108" s="21"/>
      <c r="C108" s="21"/>
      <c r="D108" s="21"/>
      <c r="E108" s="21"/>
      <c r="F108" s="22" t="str">
        <f aca="false">IF(A108="","",SUM(B108:E108))</f>
        <v/>
      </c>
      <c r="G108" s="23" t="str">
        <f aca="false">IF(A108="","",B108*Premissas!$C$4+C108*Premissas!$C$7+D108*Premissas!$C$6+E108*Premissas!$C$5)</f>
        <v/>
      </c>
      <c r="H108" s="24" t="str">
        <f aca="false">IF(A108="","",DATE(YEAR(A108),MONTH(A108),1))</f>
        <v/>
      </c>
    </row>
    <row r="109" customFormat="false" ht="14.25" hidden="false" customHeight="false" outlineLevel="0" collapsed="false">
      <c r="A109" s="20"/>
      <c r="B109" s="21"/>
      <c r="C109" s="21"/>
      <c r="D109" s="21"/>
      <c r="E109" s="21"/>
      <c r="F109" s="22" t="str">
        <f aca="false">IF(A109="","",SUM(B109:E109))</f>
        <v/>
      </c>
      <c r="G109" s="23" t="str">
        <f aca="false">IF(A109="","",B109*Premissas!$C$4+C109*Premissas!$C$7+D109*Premissas!$C$6+E109*Premissas!$C$5)</f>
        <v/>
      </c>
      <c r="H109" s="24" t="str">
        <f aca="false">IF(A109="","",DATE(YEAR(A109),MONTH(A109),1))</f>
        <v/>
      </c>
    </row>
    <row r="110" customFormat="false" ht="14.25" hidden="false" customHeight="false" outlineLevel="0" collapsed="false">
      <c r="A110" s="20"/>
      <c r="B110" s="21"/>
      <c r="C110" s="21"/>
      <c r="D110" s="21"/>
      <c r="E110" s="21"/>
      <c r="F110" s="22" t="str">
        <f aca="false">IF(A110="","",SUM(B110:E110))</f>
        <v/>
      </c>
      <c r="G110" s="23" t="str">
        <f aca="false">IF(A110="","",B110*Premissas!$C$4+C110*Premissas!$C$7+D110*Premissas!$C$6+E110*Premissas!$C$5)</f>
        <v/>
      </c>
      <c r="H110" s="24" t="str">
        <f aca="false">IF(A110="","",DATE(YEAR(A110),MONTH(A110),1))</f>
        <v/>
      </c>
    </row>
    <row r="111" customFormat="false" ht="14.25" hidden="false" customHeight="false" outlineLevel="0" collapsed="false">
      <c r="A111" s="20"/>
      <c r="B111" s="21"/>
      <c r="C111" s="21"/>
      <c r="D111" s="21"/>
      <c r="E111" s="21"/>
      <c r="F111" s="22" t="str">
        <f aca="false">IF(A111="","",SUM(B111:E111))</f>
        <v/>
      </c>
      <c r="G111" s="23" t="str">
        <f aca="false">IF(A111="","",B111*Premissas!$C$4+C111*Premissas!$C$7+D111*Premissas!$C$6+E111*Premissas!$C$5)</f>
        <v/>
      </c>
      <c r="H111" s="24" t="str">
        <f aca="false">IF(A111="","",DATE(YEAR(A111),MONTH(A111),1))</f>
        <v/>
      </c>
    </row>
    <row r="112" customFormat="false" ht="14.25" hidden="false" customHeight="false" outlineLevel="0" collapsed="false">
      <c r="A112" s="20"/>
      <c r="B112" s="21"/>
      <c r="C112" s="21"/>
      <c r="D112" s="21"/>
      <c r="E112" s="21"/>
      <c r="F112" s="22" t="str">
        <f aca="false">IF(A112="","",SUM(B112:E112))</f>
        <v/>
      </c>
      <c r="G112" s="23" t="str">
        <f aca="false">IF(A112="","",B112*Premissas!$C$4+C112*Premissas!$C$7+D112*Premissas!$C$6+E112*Premissas!$C$5)</f>
        <v/>
      </c>
      <c r="H112" s="24" t="str">
        <f aca="false">IF(A112="","",DATE(YEAR(A112),MONTH(A112),1))</f>
        <v/>
      </c>
    </row>
    <row r="113" customFormat="false" ht="14.25" hidden="false" customHeight="false" outlineLevel="0" collapsed="false">
      <c r="A113" s="20"/>
      <c r="B113" s="21"/>
      <c r="C113" s="21"/>
      <c r="D113" s="21"/>
      <c r="E113" s="21"/>
      <c r="F113" s="22" t="str">
        <f aca="false">IF(A113="","",SUM(B113:E113))</f>
        <v/>
      </c>
      <c r="G113" s="23" t="str">
        <f aca="false">IF(A113="","",B113*Premissas!$C$4+C113*Premissas!$C$7+D113*Premissas!$C$6+E113*Premissas!$C$5)</f>
        <v/>
      </c>
      <c r="H113" s="24" t="str">
        <f aca="false">IF(A113="","",DATE(YEAR(A113),MONTH(A113),1))</f>
        <v/>
      </c>
    </row>
    <row r="114" customFormat="false" ht="14.25" hidden="false" customHeight="false" outlineLevel="0" collapsed="false">
      <c r="A114" s="20"/>
      <c r="B114" s="21"/>
      <c r="C114" s="21"/>
      <c r="D114" s="21"/>
      <c r="E114" s="21"/>
      <c r="F114" s="22" t="str">
        <f aca="false">IF(A114="","",SUM(B114:E114))</f>
        <v/>
      </c>
      <c r="G114" s="23" t="str">
        <f aca="false">IF(A114="","",B114*Premissas!$C$4+C114*Premissas!$C$7+D114*Premissas!$C$6+E114*Premissas!$C$5)</f>
        <v/>
      </c>
      <c r="H114" s="24" t="str">
        <f aca="false">IF(A114="","",DATE(YEAR(A114),MONTH(A114),1))</f>
        <v/>
      </c>
    </row>
    <row r="115" customFormat="false" ht="14.25" hidden="false" customHeight="false" outlineLevel="0" collapsed="false">
      <c r="A115" s="20"/>
      <c r="B115" s="21"/>
      <c r="C115" s="21"/>
      <c r="D115" s="21"/>
      <c r="E115" s="21"/>
      <c r="F115" s="22" t="str">
        <f aca="false">IF(A115="","",SUM(B115:E115))</f>
        <v/>
      </c>
      <c r="G115" s="23" t="str">
        <f aca="false">IF(A115="","",B115*Premissas!$C$4+C115*Premissas!$C$7+D115*Premissas!$C$6+E115*Premissas!$C$5)</f>
        <v/>
      </c>
      <c r="H115" s="24" t="str">
        <f aca="false">IF(A115="","",DATE(YEAR(A115),MONTH(A115),1))</f>
        <v/>
      </c>
    </row>
    <row r="116" customFormat="false" ht="14.25" hidden="false" customHeight="false" outlineLevel="0" collapsed="false">
      <c r="A116" s="20"/>
      <c r="B116" s="21"/>
      <c r="C116" s="21"/>
      <c r="D116" s="21"/>
      <c r="E116" s="21"/>
      <c r="F116" s="22" t="str">
        <f aca="false">IF(A116="","",SUM(B116:E116))</f>
        <v/>
      </c>
      <c r="G116" s="23" t="str">
        <f aca="false">IF(A116="","",B116*Premissas!$C$4+C116*Premissas!$C$7+D116*Premissas!$C$6+E116*Premissas!$C$5)</f>
        <v/>
      </c>
      <c r="H116" s="24" t="str">
        <f aca="false">IF(A116="","",DATE(YEAR(A116),MONTH(A116),1))</f>
        <v/>
      </c>
    </row>
    <row r="117" customFormat="false" ht="14.25" hidden="false" customHeight="false" outlineLevel="0" collapsed="false">
      <c r="A117" s="20"/>
      <c r="B117" s="21"/>
      <c r="C117" s="21"/>
      <c r="D117" s="21"/>
      <c r="E117" s="21"/>
      <c r="F117" s="22" t="str">
        <f aca="false">IF(A117="","",SUM(B117:E117))</f>
        <v/>
      </c>
      <c r="G117" s="23" t="str">
        <f aca="false">IF(A117="","",B117*Premissas!$C$4+C117*Premissas!$C$7+D117*Premissas!$C$6+E117*Premissas!$C$5)</f>
        <v/>
      </c>
      <c r="H117" s="24" t="str">
        <f aca="false">IF(A117="","",DATE(YEAR(A117),MONTH(A117),1))</f>
        <v/>
      </c>
    </row>
    <row r="118" customFormat="false" ht="14.25" hidden="false" customHeight="false" outlineLevel="0" collapsed="false">
      <c r="A118" s="20"/>
      <c r="B118" s="21"/>
      <c r="C118" s="21"/>
      <c r="D118" s="21"/>
      <c r="E118" s="21"/>
      <c r="F118" s="22" t="str">
        <f aca="false">IF(A118="","",SUM(B118:E118))</f>
        <v/>
      </c>
      <c r="G118" s="23" t="str">
        <f aca="false">IF(A118="","",B118*Premissas!$C$4+C118*Premissas!$C$7+D118*Premissas!$C$6+E118*Premissas!$C$5)</f>
        <v/>
      </c>
      <c r="H118" s="24" t="str">
        <f aca="false">IF(A118="","",DATE(YEAR(A118),MONTH(A118),1))</f>
        <v/>
      </c>
    </row>
    <row r="119" customFormat="false" ht="14.25" hidden="false" customHeight="false" outlineLevel="0" collapsed="false">
      <c r="A119" s="20"/>
      <c r="B119" s="21"/>
      <c r="C119" s="21"/>
      <c r="D119" s="21"/>
      <c r="E119" s="21"/>
      <c r="F119" s="22" t="str">
        <f aca="false">IF(A119="","",SUM(B119:E119))</f>
        <v/>
      </c>
      <c r="G119" s="23" t="str">
        <f aca="false">IF(A119="","",B119*Premissas!$C$4+C119*Premissas!$C$7+D119*Premissas!$C$6+E119*Premissas!$C$5)</f>
        <v/>
      </c>
      <c r="H119" s="24" t="str">
        <f aca="false">IF(A119="","",DATE(YEAR(A119),MONTH(A119),1))</f>
        <v/>
      </c>
    </row>
    <row r="120" customFormat="false" ht="14.25" hidden="false" customHeight="false" outlineLevel="0" collapsed="false">
      <c r="A120" s="20"/>
      <c r="B120" s="21"/>
      <c r="C120" s="21"/>
      <c r="D120" s="21"/>
      <c r="E120" s="21"/>
      <c r="F120" s="22" t="str">
        <f aca="false">IF(A120="","",SUM(B120:E120))</f>
        <v/>
      </c>
      <c r="G120" s="23" t="str">
        <f aca="false">IF(A120="","",B120*Premissas!$C$4+C120*Premissas!$C$7+D120*Premissas!$C$6+E120*Premissas!$C$5)</f>
        <v/>
      </c>
      <c r="H120" s="24" t="str">
        <f aca="false">IF(A120="","",DATE(YEAR(A120),MONTH(A120),1))</f>
        <v/>
      </c>
    </row>
    <row r="121" customFormat="false" ht="14.25" hidden="false" customHeight="false" outlineLevel="0" collapsed="false">
      <c r="A121" s="20"/>
      <c r="B121" s="21"/>
      <c r="C121" s="21"/>
      <c r="D121" s="21"/>
      <c r="E121" s="21"/>
      <c r="F121" s="22" t="str">
        <f aca="false">IF(A121="","",SUM(B121:E121))</f>
        <v/>
      </c>
      <c r="G121" s="23" t="str">
        <f aca="false">IF(A121="","",B121*Premissas!$C$4+C121*Premissas!$C$7+D121*Premissas!$C$6+E121*Premissas!$C$5)</f>
        <v/>
      </c>
      <c r="H121" s="24" t="str">
        <f aca="false">IF(A121="","",DATE(YEAR(A121),MONTH(A121),1))</f>
        <v/>
      </c>
    </row>
    <row r="122" customFormat="false" ht="14.25" hidden="false" customHeight="false" outlineLevel="0" collapsed="false">
      <c r="A122" s="20"/>
      <c r="B122" s="21"/>
      <c r="C122" s="21"/>
      <c r="D122" s="21"/>
      <c r="E122" s="21"/>
      <c r="F122" s="22" t="str">
        <f aca="false">IF(A122="","",SUM(B122:E122))</f>
        <v/>
      </c>
      <c r="G122" s="23" t="str">
        <f aca="false">IF(A122="","",B122*Premissas!$C$4+C122*Premissas!$C$7+D122*Premissas!$C$6+E122*Premissas!$C$5)</f>
        <v/>
      </c>
      <c r="H122" s="24" t="str">
        <f aca="false">IF(A122="","",DATE(YEAR(A122),MONTH(A122),1))</f>
        <v/>
      </c>
    </row>
    <row r="123" customFormat="false" ht="14.25" hidden="false" customHeight="false" outlineLevel="0" collapsed="false">
      <c r="A123" s="20"/>
      <c r="B123" s="21"/>
      <c r="C123" s="21"/>
      <c r="D123" s="21"/>
      <c r="E123" s="21"/>
      <c r="F123" s="22" t="str">
        <f aca="false">IF(A123="","",SUM(B123:E123))</f>
        <v/>
      </c>
      <c r="G123" s="23" t="str">
        <f aca="false">IF(A123="","",B123*Premissas!$C$4+C123*Premissas!$C$7+D123*Premissas!$C$6+E123*Premissas!$C$5)</f>
        <v/>
      </c>
      <c r="H123" s="24" t="str">
        <f aca="false">IF(A123="","",DATE(YEAR(A123),MONTH(A123),1))</f>
        <v/>
      </c>
    </row>
    <row r="124" customFormat="false" ht="14.25" hidden="false" customHeight="false" outlineLevel="0" collapsed="false">
      <c r="A124" s="20"/>
      <c r="B124" s="21"/>
      <c r="C124" s="21"/>
      <c r="D124" s="21"/>
      <c r="E124" s="21"/>
      <c r="F124" s="22" t="str">
        <f aca="false">IF(A124="","",SUM(B124:E124))</f>
        <v/>
      </c>
      <c r="G124" s="23" t="str">
        <f aca="false">IF(A124="","",B124*Premissas!$C$4+C124*Premissas!$C$7+D124*Premissas!$C$6+E124*Premissas!$C$5)</f>
        <v/>
      </c>
      <c r="H124" s="24" t="str">
        <f aca="false">IF(A124="","",DATE(YEAR(A124),MONTH(A124),1))</f>
        <v/>
      </c>
    </row>
    <row r="125" customFormat="false" ht="14.25" hidden="false" customHeight="false" outlineLevel="0" collapsed="false">
      <c r="A125" s="20"/>
      <c r="B125" s="21"/>
      <c r="C125" s="21"/>
      <c r="D125" s="21"/>
      <c r="E125" s="21"/>
      <c r="F125" s="22" t="str">
        <f aca="false">IF(A125="","",SUM(B125:E125))</f>
        <v/>
      </c>
      <c r="G125" s="23" t="str">
        <f aca="false">IF(A125="","",B125*Premissas!$C$4+C125*Premissas!$C$7+D125*Premissas!$C$6+E125*Premissas!$C$5)</f>
        <v/>
      </c>
      <c r="H125" s="24" t="str">
        <f aca="false">IF(A125="","",DATE(YEAR(A125),MONTH(A125),1))</f>
        <v/>
      </c>
    </row>
    <row r="126" customFormat="false" ht="14.25" hidden="false" customHeight="false" outlineLevel="0" collapsed="false">
      <c r="A126" s="20"/>
      <c r="B126" s="21"/>
      <c r="C126" s="21"/>
      <c r="D126" s="21"/>
      <c r="E126" s="21"/>
      <c r="F126" s="22" t="str">
        <f aca="false">IF(A126="","",SUM(B126:E126))</f>
        <v/>
      </c>
      <c r="G126" s="23" t="str">
        <f aca="false">IF(A126="","",B126*Premissas!$C$4+C126*Premissas!$C$7+D126*Premissas!$C$6+E126*Premissas!$C$5)</f>
        <v/>
      </c>
      <c r="H126" s="24" t="str">
        <f aca="false">IF(A126="","",DATE(YEAR(A126),MONTH(A126),1))</f>
        <v/>
      </c>
    </row>
    <row r="127" customFormat="false" ht="14.25" hidden="false" customHeight="false" outlineLevel="0" collapsed="false">
      <c r="A127" s="20"/>
      <c r="B127" s="21"/>
      <c r="C127" s="21"/>
      <c r="D127" s="21"/>
      <c r="E127" s="21"/>
      <c r="F127" s="22" t="str">
        <f aca="false">IF(A127="","",SUM(B127:E127))</f>
        <v/>
      </c>
      <c r="G127" s="23" t="str">
        <f aca="false">IF(A127="","",B127*Premissas!$C$4+C127*Premissas!$C$7+D127*Premissas!$C$6+E127*Premissas!$C$5)</f>
        <v/>
      </c>
      <c r="H127" s="24" t="str">
        <f aca="false">IF(A127="","",DATE(YEAR(A127),MONTH(A127),1))</f>
        <v/>
      </c>
    </row>
    <row r="128" customFormat="false" ht="14.25" hidden="false" customHeight="false" outlineLevel="0" collapsed="false">
      <c r="A128" s="20"/>
      <c r="B128" s="21"/>
      <c r="C128" s="21"/>
      <c r="D128" s="21"/>
      <c r="E128" s="21"/>
      <c r="F128" s="22" t="str">
        <f aca="false">IF(A128="","",SUM(B128:E128))</f>
        <v/>
      </c>
      <c r="G128" s="23" t="str">
        <f aca="false">IF(A128="","",B128*Premissas!$C$4+C128*Premissas!$C$7+D128*Premissas!$C$6+E128*Premissas!$C$5)</f>
        <v/>
      </c>
      <c r="H128" s="24" t="str">
        <f aca="false">IF(A128="","",DATE(YEAR(A128),MONTH(A128),1))</f>
        <v/>
      </c>
    </row>
    <row r="129" customFormat="false" ht="14.25" hidden="false" customHeight="false" outlineLevel="0" collapsed="false">
      <c r="A129" s="20"/>
      <c r="B129" s="21"/>
      <c r="C129" s="21"/>
      <c r="D129" s="21"/>
      <c r="E129" s="21"/>
      <c r="F129" s="22" t="str">
        <f aca="false">IF(A129="","",SUM(B129:E129))</f>
        <v/>
      </c>
      <c r="G129" s="23" t="str">
        <f aca="false">IF(A129="","",B129*Premissas!$C$4+C129*Premissas!$C$7+D129*Premissas!$C$6+E129*Premissas!$C$5)</f>
        <v/>
      </c>
      <c r="H129" s="24" t="str">
        <f aca="false">IF(A129="","",DATE(YEAR(A129),MONTH(A129),1))</f>
        <v/>
      </c>
    </row>
    <row r="130" customFormat="false" ht="14.25" hidden="false" customHeight="false" outlineLevel="0" collapsed="false">
      <c r="A130" s="20"/>
      <c r="B130" s="21"/>
      <c r="C130" s="21"/>
      <c r="D130" s="21"/>
      <c r="E130" s="21"/>
      <c r="F130" s="22" t="str">
        <f aca="false">IF(A130="","",SUM(B130:E130))</f>
        <v/>
      </c>
      <c r="G130" s="23" t="str">
        <f aca="false">IF(A130="","",B130*Premissas!$C$4+C130*Premissas!$C$7+D130*Premissas!$C$6+E130*Premissas!$C$5)</f>
        <v/>
      </c>
      <c r="H130" s="24" t="str">
        <f aca="false">IF(A130="","",DATE(YEAR(A130),MONTH(A130),1))</f>
        <v/>
      </c>
    </row>
    <row r="131" customFormat="false" ht="14.25" hidden="false" customHeight="false" outlineLevel="0" collapsed="false">
      <c r="A131" s="20"/>
      <c r="B131" s="21"/>
      <c r="C131" s="21"/>
      <c r="D131" s="21"/>
      <c r="E131" s="21"/>
      <c r="F131" s="22" t="str">
        <f aca="false">IF(A131="","",SUM(B131:E131))</f>
        <v/>
      </c>
      <c r="G131" s="23" t="str">
        <f aca="false">IF(A131="","",B131*Premissas!$C$4+C131*Premissas!$C$7+D131*Premissas!$C$6+E131*Premissas!$C$5)</f>
        <v/>
      </c>
      <c r="H131" s="24" t="str">
        <f aca="false">IF(A131="","",DATE(YEAR(A131),MONTH(A131),1))</f>
        <v/>
      </c>
    </row>
    <row r="132" customFormat="false" ht="14.25" hidden="false" customHeight="false" outlineLevel="0" collapsed="false">
      <c r="A132" s="20"/>
      <c r="B132" s="21"/>
      <c r="C132" s="21"/>
      <c r="D132" s="21"/>
      <c r="E132" s="21"/>
      <c r="F132" s="22" t="str">
        <f aca="false">IF(A132="","",SUM(B132:E132))</f>
        <v/>
      </c>
      <c r="G132" s="23" t="str">
        <f aca="false">IF(A132="","",B132*Premissas!$C$4+C132*Premissas!$C$7+D132*Premissas!$C$6+E132*Premissas!$C$5)</f>
        <v/>
      </c>
      <c r="H132" s="24" t="str">
        <f aca="false">IF(A132="","",DATE(YEAR(A132),MONTH(A132),1))</f>
        <v/>
      </c>
    </row>
    <row r="133" customFormat="false" ht="14.25" hidden="false" customHeight="false" outlineLevel="0" collapsed="false">
      <c r="A133" s="20"/>
      <c r="B133" s="21"/>
      <c r="C133" s="21"/>
      <c r="D133" s="21"/>
      <c r="E133" s="21"/>
      <c r="F133" s="22" t="str">
        <f aca="false">IF(A133="","",SUM(B133:E133))</f>
        <v/>
      </c>
      <c r="G133" s="23" t="str">
        <f aca="false">IF(A133="","",B133*Premissas!$C$4+C133*Premissas!$C$7+D133*Premissas!$C$6+E133*Premissas!$C$5)</f>
        <v/>
      </c>
      <c r="H133" s="24" t="str">
        <f aca="false">IF(A133="","",DATE(YEAR(A133),MONTH(A133),1))</f>
        <v/>
      </c>
    </row>
    <row r="134" customFormat="false" ht="14.25" hidden="false" customHeight="false" outlineLevel="0" collapsed="false">
      <c r="A134" s="20"/>
      <c r="B134" s="21"/>
      <c r="C134" s="21"/>
      <c r="D134" s="21"/>
      <c r="E134" s="21"/>
      <c r="F134" s="22" t="str">
        <f aca="false">IF(A134="","",SUM(B134:E134))</f>
        <v/>
      </c>
      <c r="G134" s="23" t="str">
        <f aca="false">IF(A134="","",B134*Premissas!$C$4+C134*Premissas!$C$7+D134*Premissas!$C$6+E134*Premissas!$C$5)</f>
        <v/>
      </c>
      <c r="H134" s="24" t="str">
        <f aca="false">IF(A134="","",DATE(YEAR(A134),MONTH(A134),1))</f>
        <v/>
      </c>
    </row>
    <row r="135" customFormat="false" ht="14.25" hidden="false" customHeight="false" outlineLevel="0" collapsed="false">
      <c r="A135" s="20"/>
      <c r="B135" s="21"/>
      <c r="C135" s="21"/>
      <c r="D135" s="21"/>
      <c r="E135" s="21"/>
      <c r="F135" s="22" t="str">
        <f aca="false">IF(A135="","",SUM(B135:E135))</f>
        <v/>
      </c>
      <c r="G135" s="23" t="str">
        <f aca="false">IF(A135="","",B135*Premissas!$C$4+C135*Premissas!$C$7+D135*Premissas!$C$6+E135*Premissas!$C$5)</f>
        <v/>
      </c>
      <c r="H135" s="24" t="str">
        <f aca="false">IF(A135="","",DATE(YEAR(A135),MONTH(A135),1))</f>
        <v/>
      </c>
    </row>
    <row r="136" customFormat="false" ht="14.25" hidden="false" customHeight="false" outlineLevel="0" collapsed="false">
      <c r="A136" s="20"/>
      <c r="B136" s="21"/>
      <c r="C136" s="21"/>
      <c r="D136" s="21"/>
      <c r="E136" s="21"/>
      <c r="F136" s="22" t="str">
        <f aca="false">IF(A136="","",SUM(B136:E136))</f>
        <v/>
      </c>
      <c r="G136" s="23" t="str">
        <f aca="false">IF(A136="","",B136*Premissas!$C$4+C136*Premissas!$C$7+D136*Premissas!$C$6+E136*Premissas!$C$5)</f>
        <v/>
      </c>
      <c r="H136" s="24" t="str">
        <f aca="false">IF(A136="","",DATE(YEAR(A136),MONTH(A136),1))</f>
        <v/>
      </c>
    </row>
    <row r="137" customFormat="false" ht="14.25" hidden="false" customHeight="false" outlineLevel="0" collapsed="false">
      <c r="A137" s="20"/>
      <c r="B137" s="21"/>
      <c r="C137" s="21"/>
      <c r="D137" s="21"/>
      <c r="E137" s="21"/>
      <c r="F137" s="22" t="str">
        <f aca="false">IF(A137="","",SUM(B137:E137))</f>
        <v/>
      </c>
      <c r="G137" s="23" t="str">
        <f aca="false">IF(A137="","",B137*Premissas!$C$4+C137*Premissas!$C$7+D137*Premissas!$C$6+E137*Premissas!$C$5)</f>
        <v/>
      </c>
      <c r="H137" s="24" t="str">
        <f aca="false">IF(A137="","",DATE(YEAR(A137),MONTH(A137),1))</f>
        <v/>
      </c>
    </row>
    <row r="138" customFormat="false" ht="14.25" hidden="false" customHeight="false" outlineLevel="0" collapsed="false">
      <c r="A138" s="20"/>
      <c r="B138" s="21"/>
      <c r="C138" s="21"/>
      <c r="D138" s="21"/>
      <c r="E138" s="21"/>
      <c r="F138" s="22" t="str">
        <f aca="false">IF(A138="","",SUM(B138:E138))</f>
        <v/>
      </c>
      <c r="G138" s="23" t="str">
        <f aca="false">IF(A138="","",B138*Premissas!$C$4+C138*Premissas!$C$7+D138*Premissas!$C$6+E138*Premissas!$C$5)</f>
        <v/>
      </c>
      <c r="H138" s="24" t="str">
        <f aca="false">IF(A138="","",DATE(YEAR(A138),MONTH(A138),1))</f>
        <v/>
      </c>
    </row>
    <row r="139" customFormat="false" ht="14.25" hidden="false" customHeight="false" outlineLevel="0" collapsed="false">
      <c r="A139" s="20"/>
      <c r="B139" s="21"/>
      <c r="C139" s="21"/>
      <c r="D139" s="21"/>
      <c r="E139" s="21"/>
      <c r="F139" s="22" t="str">
        <f aca="false">IF(A139="","",SUM(B139:E139))</f>
        <v/>
      </c>
      <c r="G139" s="23" t="str">
        <f aca="false">IF(A139="","",B139*Premissas!$C$4+C139*Premissas!$C$7+D139*Premissas!$C$6+E139*Premissas!$C$5)</f>
        <v/>
      </c>
      <c r="H139" s="24" t="str">
        <f aca="false">IF(A139="","",DATE(YEAR(A139),MONTH(A139),1))</f>
        <v/>
      </c>
    </row>
    <row r="140" customFormat="false" ht="14.25" hidden="false" customHeight="false" outlineLevel="0" collapsed="false">
      <c r="A140" s="20"/>
      <c r="B140" s="21"/>
      <c r="C140" s="21"/>
      <c r="D140" s="21"/>
      <c r="E140" s="21"/>
      <c r="F140" s="22" t="str">
        <f aca="false">IF(A140="","",SUM(B140:E140))</f>
        <v/>
      </c>
      <c r="G140" s="23" t="str">
        <f aca="false">IF(A140="","",B140*Premissas!$C$4+C140*Premissas!$C$7+D140*Premissas!$C$6+E140*Premissas!$C$5)</f>
        <v/>
      </c>
      <c r="H140" s="24" t="str">
        <f aca="false">IF(A140="","",DATE(YEAR(A140),MONTH(A140),1))</f>
        <v/>
      </c>
    </row>
    <row r="141" customFormat="false" ht="14.25" hidden="false" customHeight="false" outlineLevel="0" collapsed="false">
      <c r="A141" s="20"/>
      <c r="B141" s="21"/>
      <c r="C141" s="21"/>
      <c r="D141" s="21"/>
      <c r="E141" s="21"/>
      <c r="F141" s="22" t="str">
        <f aca="false">IF(A141="","",SUM(B141:E141))</f>
        <v/>
      </c>
      <c r="G141" s="23" t="str">
        <f aca="false">IF(A141="","",B141*Premissas!$C$4+C141*Premissas!$C$7+D141*Premissas!$C$6+E141*Premissas!$C$5)</f>
        <v/>
      </c>
      <c r="H141" s="24" t="str">
        <f aca="false">IF(A141="","",DATE(YEAR(A141),MONTH(A141),1))</f>
        <v/>
      </c>
    </row>
    <row r="142" customFormat="false" ht="14.25" hidden="false" customHeight="false" outlineLevel="0" collapsed="false">
      <c r="A142" s="20"/>
      <c r="B142" s="21"/>
      <c r="C142" s="21"/>
      <c r="D142" s="21"/>
      <c r="E142" s="21"/>
      <c r="F142" s="22" t="str">
        <f aca="false">IF(A142="","",SUM(B142:E142))</f>
        <v/>
      </c>
      <c r="G142" s="23" t="str">
        <f aca="false">IF(A142="","",B142*Premissas!$C$4+C142*Premissas!$C$7+D142*Premissas!$C$6+E142*Premissas!$C$5)</f>
        <v/>
      </c>
      <c r="H142" s="24" t="str">
        <f aca="false">IF(A142="","",DATE(YEAR(A142),MONTH(A142),1))</f>
        <v/>
      </c>
    </row>
    <row r="143" customFormat="false" ht="14.25" hidden="false" customHeight="false" outlineLevel="0" collapsed="false">
      <c r="A143" s="20"/>
      <c r="B143" s="21"/>
      <c r="C143" s="21"/>
      <c r="D143" s="21"/>
      <c r="E143" s="21"/>
      <c r="F143" s="22" t="str">
        <f aca="false">IF(A143="","",SUM(B143:E143))</f>
        <v/>
      </c>
      <c r="G143" s="23" t="str">
        <f aca="false">IF(A143="","",B143*Premissas!$C$4+C143*Premissas!$C$7+D143*Premissas!$C$6+E143*Premissas!$C$5)</f>
        <v/>
      </c>
      <c r="H143" s="24" t="str">
        <f aca="false">IF(A143="","",DATE(YEAR(A143),MONTH(A143),1))</f>
        <v/>
      </c>
    </row>
    <row r="144" customFormat="false" ht="14.25" hidden="false" customHeight="false" outlineLevel="0" collapsed="false">
      <c r="A144" s="20"/>
      <c r="B144" s="21"/>
      <c r="C144" s="21"/>
      <c r="D144" s="21"/>
      <c r="E144" s="21"/>
      <c r="F144" s="22" t="str">
        <f aca="false">IF(A144="","",SUM(B144:E144))</f>
        <v/>
      </c>
      <c r="G144" s="23" t="str">
        <f aca="false">IF(A144="","",B144*Premissas!$C$4+C144*Premissas!$C$7+D144*Premissas!$C$6+E144*Premissas!$C$5)</f>
        <v/>
      </c>
      <c r="H144" s="24" t="str">
        <f aca="false">IF(A144="","",DATE(YEAR(A144),MONTH(A144),1))</f>
        <v/>
      </c>
    </row>
    <row r="145" customFormat="false" ht="14.25" hidden="false" customHeight="false" outlineLevel="0" collapsed="false">
      <c r="A145" s="20"/>
      <c r="B145" s="21"/>
      <c r="C145" s="21"/>
      <c r="D145" s="21"/>
      <c r="E145" s="21"/>
      <c r="F145" s="22" t="str">
        <f aca="false">IF(A145="","",SUM(B145:E145))</f>
        <v/>
      </c>
      <c r="G145" s="23" t="str">
        <f aca="false">IF(A145="","",B145*Premissas!$C$4+C145*Premissas!$C$7+D145*Premissas!$C$6+E145*Premissas!$C$5)</f>
        <v/>
      </c>
      <c r="H145" s="24" t="str">
        <f aca="false">IF(A145="","",DATE(YEAR(A145),MONTH(A145),1))</f>
        <v/>
      </c>
    </row>
    <row r="146" customFormat="false" ht="14.25" hidden="false" customHeight="false" outlineLevel="0" collapsed="false">
      <c r="A146" s="20"/>
      <c r="B146" s="21"/>
      <c r="C146" s="21"/>
      <c r="D146" s="21"/>
      <c r="E146" s="21"/>
      <c r="F146" s="22" t="str">
        <f aca="false">IF(A146="","",SUM(B146:E146))</f>
        <v/>
      </c>
      <c r="G146" s="23" t="str">
        <f aca="false">IF(A146="","",B146*Premissas!$C$4+C146*Premissas!$C$7+D146*Premissas!$C$6+E146*Premissas!$C$5)</f>
        <v/>
      </c>
      <c r="H146" s="24" t="str">
        <f aca="false">IF(A146="","",DATE(YEAR(A146),MONTH(A146),1))</f>
        <v/>
      </c>
    </row>
    <row r="147" customFormat="false" ht="14.25" hidden="false" customHeight="false" outlineLevel="0" collapsed="false">
      <c r="A147" s="20"/>
      <c r="B147" s="21"/>
      <c r="C147" s="21"/>
      <c r="D147" s="21"/>
      <c r="E147" s="21"/>
      <c r="F147" s="22" t="str">
        <f aca="false">IF(A147="","",SUM(B147:E147))</f>
        <v/>
      </c>
      <c r="G147" s="23" t="str">
        <f aca="false">IF(A147="","",B147*Premissas!$C$4+C147*Premissas!$C$7+D147*Premissas!$C$6+E147*Premissas!$C$5)</f>
        <v/>
      </c>
      <c r="H147" s="24" t="str">
        <f aca="false">IF(A147="","",DATE(YEAR(A147),MONTH(A147),1))</f>
        <v/>
      </c>
    </row>
    <row r="148" customFormat="false" ht="14.25" hidden="false" customHeight="false" outlineLevel="0" collapsed="false">
      <c r="A148" s="20"/>
      <c r="B148" s="21"/>
      <c r="C148" s="21"/>
      <c r="D148" s="21"/>
      <c r="E148" s="21"/>
      <c r="F148" s="22" t="str">
        <f aca="false">IF(A148="","",SUM(B148:E148))</f>
        <v/>
      </c>
      <c r="G148" s="23" t="str">
        <f aca="false">IF(A148="","",B148*Premissas!$C$4+C148*Premissas!$C$7+D148*Premissas!$C$6+E148*Premissas!$C$5)</f>
        <v/>
      </c>
      <c r="H148" s="24" t="str">
        <f aca="false">IF(A148="","",DATE(YEAR(A148),MONTH(A148),1))</f>
        <v/>
      </c>
    </row>
    <row r="149" customFormat="false" ht="14.25" hidden="false" customHeight="false" outlineLevel="0" collapsed="false">
      <c r="A149" s="20"/>
      <c r="B149" s="21"/>
      <c r="C149" s="21"/>
      <c r="D149" s="21"/>
      <c r="E149" s="21"/>
      <c r="F149" s="22" t="str">
        <f aca="false">IF(A149="","",SUM(B149:E149))</f>
        <v/>
      </c>
      <c r="G149" s="23" t="str">
        <f aca="false">IF(A149="","",B149*Premissas!$C$4+C149*Premissas!$C$7+D149*Premissas!$C$6+E149*Premissas!$C$5)</f>
        <v/>
      </c>
      <c r="H149" s="24" t="str">
        <f aca="false">IF(A149="","",DATE(YEAR(A149),MONTH(A149),1))</f>
        <v/>
      </c>
    </row>
    <row r="150" customFormat="false" ht="14.25" hidden="false" customHeight="false" outlineLevel="0" collapsed="false">
      <c r="A150" s="20"/>
      <c r="B150" s="21"/>
      <c r="C150" s="21"/>
      <c r="D150" s="21"/>
      <c r="E150" s="21"/>
      <c r="F150" s="22" t="str">
        <f aca="false">IF(A150="","",SUM(B150:E150))</f>
        <v/>
      </c>
      <c r="G150" s="23" t="str">
        <f aca="false">IF(A150="","",B150*Premissas!$C$4+C150*Premissas!$C$7+D150*Premissas!$C$6+E150*Premissas!$C$5)</f>
        <v/>
      </c>
      <c r="H150" s="24" t="str">
        <f aca="false">IF(A150="","",DATE(YEAR(A150),MONTH(A150),1))</f>
        <v/>
      </c>
    </row>
    <row r="151" customFormat="false" ht="14.25" hidden="false" customHeight="false" outlineLevel="0" collapsed="false">
      <c r="A151" s="20"/>
      <c r="B151" s="21"/>
      <c r="C151" s="21"/>
      <c r="D151" s="21"/>
      <c r="E151" s="21"/>
      <c r="F151" s="22" t="str">
        <f aca="false">IF(A151="","",SUM(B151:E151))</f>
        <v/>
      </c>
      <c r="G151" s="23" t="str">
        <f aca="false">IF(A151="","",B151*Premissas!$C$4+C151*Premissas!$C$7+D151*Premissas!$C$6+E151*Premissas!$C$5)</f>
        <v/>
      </c>
      <c r="H151" s="24" t="str">
        <f aca="false">IF(A151="","",DATE(YEAR(A151),MONTH(A151),1))</f>
        <v/>
      </c>
    </row>
    <row r="152" customFormat="false" ht="14.25" hidden="false" customHeight="false" outlineLevel="0" collapsed="false">
      <c r="A152" s="20"/>
      <c r="B152" s="21"/>
      <c r="C152" s="21"/>
      <c r="D152" s="21"/>
      <c r="E152" s="21"/>
      <c r="F152" s="22" t="str">
        <f aca="false">IF(A152="","",SUM(B152:E152))</f>
        <v/>
      </c>
      <c r="G152" s="23" t="str">
        <f aca="false">IF(A152="","",B152*Premissas!$C$4+C152*Premissas!$C$7+D152*Premissas!$C$6+E152*Premissas!$C$5)</f>
        <v/>
      </c>
      <c r="H152" s="24" t="str">
        <f aca="false">IF(A152="","",DATE(YEAR(A152),MONTH(A152),1))</f>
        <v/>
      </c>
    </row>
    <row r="153" customFormat="false" ht="14.25" hidden="false" customHeight="false" outlineLevel="0" collapsed="false">
      <c r="A153" s="20"/>
      <c r="B153" s="21"/>
      <c r="C153" s="21"/>
      <c r="D153" s="21"/>
      <c r="E153" s="21"/>
      <c r="F153" s="22" t="str">
        <f aca="false">IF(A153="","",SUM(B153:E153))</f>
        <v/>
      </c>
      <c r="G153" s="23" t="str">
        <f aca="false">IF(A153="","",B153*Premissas!$C$4+C153*Premissas!$C$7+D153*Premissas!$C$6+E153*Premissas!$C$5)</f>
        <v/>
      </c>
      <c r="H153" s="24" t="str">
        <f aca="false">IF(A153="","",DATE(YEAR(A153),MONTH(A153),1))</f>
        <v/>
      </c>
    </row>
    <row r="154" customFormat="false" ht="14.25" hidden="false" customHeight="false" outlineLevel="0" collapsed="false">
      <c r="A154" s="20"/>
      <c r="B154" s="21"/>
      <c r="C154" s="21"/>
      <c r="D154" s="21"/>
      <c r="E154" s="21"/>
      <c r="F154" s="22" t="str">
        <f aca="false">IF(A154="","",SUM(B154:E154))</f>
        <v/>
      </c>
      <c r="G154" s="23" t="str">
        <f aca="false">IF(A154="","",B154*Premissas!$C$4+C154*Premissas!$C$7+D154*Premissas!$C$6+E154*Premissas!$C$5)</f>
        <v/>
      </c>
      <c r="H154" s="24" t="str">
        <f aca="false">IF(A154="","",DATE(YEAR(A154),MONTH(A154),1))</f>
        <v/>
      </c>
    </row>
    <row r="155" customFormat="false" ht="14.25" hidden="false" customHeight="false" outlineLevel="0" collapsed="false">
      <c r="A155" s="20"/>
      <c r="B155" s="21"/>
      <c r="C155" s="21"/>
      <c r="D155" s="21"/>
      <c r="E155" s="21"/>
      <c r="F155" s="22" t="str">
        <f aca="false">IF(A155="","",SUM(B155:E155))</f>
        <v/>
      </c>
      <c r="G155" s="23" t="str">
        <f aca="false">IF(A155="","",B155*Premissas!$C$4+C155*Premissas!$C$7+D155*Premissas!$C$6+E155*Premissas!$C$5)</f>
        <v/>
      </c>
      <c r="H155" s="24" t="str">
        <f aca="false">IF(A155="","",DATE(YEAR(A155),MONTH(A155),1))</f>
        <v/>
      </c>
    </row>
    <row r="156" customFormat="false" ht="14.25" hidden="false" customHeight="false" outlineLevel="0" collapsed="false">
      <c r="A156" s="20"/>
      <c r="B156" s="21"/>
      <c r="C156" s="21"/>
      <c r="D156" s="21"/>
      <c r="E156" s="21"/>
      <c r="F156" s="22" t="str">
        <f aca="false">IF(A156="","",SUM(B156:E156))</f>
        <v/>
      </c>
      <c r="G156" s="23" t="str">
        <f aca="false">IF(A156="","",B156*Premissas!$C$4+C156*Premissas!$C$7+D156*Premissas!$C$6+E156*Premissas!$C$5)</f>
        <v/>
      </c>
      <c r="H156" s="24" t="str">
        <f aca="false">IF(A156="","",DATE(YEAR(A156),MONTH(A156),1))</f>
        <v/>
      </c>
    </row>
    <row r="157" customFormat="false" ht="14.25" hidden="false" customHeight="false" outlineLevel="0" collapsed="false">
      <c r="A157" s="20"/>
      <c r="B157" s="21"/>
      <c r="C157" s="21"/>
      <c r="D157" s="21"/>
      <c r="E157" s="21"/>
      <c r="F157" s="22" t="str">
        <f aca="false">IF(A157="","",SUM(B157:E157))</f>
        <v/>
      </c>
      <c r="G157" s="23" t="str">
        <f aca="false">IF(A157="","",B157*Premissas!$C$4+C157*Premissas!$C$7+D157*Premissas!$C$6+E157*Premissas!$C$5)</f>
        <v/>
      </c>
      <c r="H157" s="24" t="str">
        <f aca="false">IF(A157="","",DATE(YEAR(A157),MONTH(A157),1))</f>
        <v/>
      </c>
    </row>
    <row r="158" customFormat="false" ht="14.25" hidden="false" customHeight="false" outlineLevel="0" collapsed="false">
      <c r="A158" s="20"/>
      <c r="B158" s="21"/>
      <c r="C158" s="21"/>
      <c r="D158" s="21"/>
      <c r="E158" s="21"/>
      <c r="F158" s="22" t="str">
        <f aca="false">IF(A158="","",SUM(B158:E158))</f>
        <v/>
      </c>
      <c r="G158" s="23" t="str">
        <f aca="false">IF(A158="","",B158*Premissas!$C$4+C158*Premissas!$C$7+D158*Premissas!$C$6+E158*Premissas!$C$5)</f>
        <v/>
      </c>
      <c r="H158" s="24" t="str">
        <f aca="false">IF(A158="","",DATE(YEAR(A158),MONTH(A158),1))</f>
        <v/>
      </c>
    </row>
    <row r="159" customFormat="false" ht="14.25" hidden="false" customHeight="false" outlineLevel="0" collapsed="false">
      <c r="A159" s="20"/>
      <c r="B159" s="21"/>
      <c r="C159" s="21"/>
      <c r="D159" s="21"/>
      <c r="E159" s="21"/>
      <c r="F159" s="22" t="str">
        <f aca="false">IF(A159="","",SUM(B159:E159))</f>
        <v/>
      </c>
      <c r="G159" s="23" t="str">
        <f aca="false">IF(A159="","",B159*Premissas!$C$4+C159*Premissas!$C$7+D159*Premissas!$C$6+E159*Premissas!$C$5)</f>
        <v/>
      </c>
      <c r="H159" s="24" t="str">
        <f aca="false">IF(A159="","",DATE(YEAR(A159),MONTH(A159),1))</f>
        <v/>
      </c>
    </row>
    <row r="160" customFormat="false" ht="14.25" hidden="false" customHeight="false" outlineLevel="0" collapsed="false">
      <c r="A160" s="20"/>
      <c r="B160" s="21"/>
      <c r="C160" s="21"/>
      <c r="D160" s="21"/>
      <c r="E160" s="21"/>
      <c r="F160" s="22" t="str">
        <f aca="false">IF(A160="","",SUM(B160:E160))</f>
        <v/>
      </c>
      <c r="G160" s="23" t="str">
        <f aca="false">IF(A160="","",B160*Premissas!$C$4+C160*Premissas!$C$7+D160*Premissas!$C$6+E160*Premissas!$C$5)</f>
        <v/>
      </c>
      <c r="H160" s="24" t="str">
        <f aca="false">IF(A160="","",DATE(YEAR(A160),MONTH(A160),1))</f>
        <v/>
      </c>
    </row>
    <row r="161" customFormat="false" ht="14.25" hidden="false" customHeight="false" outlineLevel="0" collapsed="false">
      <c r="A161" s="20"/>
      <c r="B161" s="21"/>
      <c r="C161" s="21"/>
      <c r="D161" s="21"/>
      <c r="E161" s="21"/>
      <c r="F161" s="22" t="str">
        <f aca="false">IF(A161="","",SUM(B161:E161))</f>
        <v/>
      </c>
      <c r="G161" s="23" t="str">
        <f aca="false">IF(A161="","",B161*Premissas!$C$4+C161*Premissas!$C$7+D161*Premissas!$C$6+E161*Premissas!$C$5)</f>
        <v/>
      </c>
      <c r="H161" s="24" t="str">
        <f aca="false">IF(A161="","",DATE(YEAR(A161),MONTH(A161),1))</f>
        <v/>
      </c>
    </row>
    <row r="162" customFormat="false" ht="14.25" hidden="false" customHeight="false" outlineLevel="0" collapsed="false">
      <c r="A162" s="20"/>
      <c r="B162" s="21"/>
      <c r="C162" s="21"/>
      <c r="D162" s="21"/>
      <c r="E162" s="21"/>
      <c r="F162" s="22" t="str">
        <f aca="false">IF(A162="","",SUM(B162:E162))</f>
        <v/>
      </c>
      <c r="G162" s="23" t="str">
        <f aca="false">IF(A162="","",B162*Premissas!$C$4+C162*Premissas!$C$7+D162*Premissas!$C$6+E162*Premissas!$C$5)</f>
        <v/>
      </c>
      <c r="H162" s="24" t="str">
        <f aca="false">IF(A162="","",DATE(YEAR(A162),MONTH(A162),1))</f>
        <v/>
      </c>
    </row>
    <row r="163" customFormat="false" ht="14.25" hidden="false" customHeight="false" outlineLevel="0" collapsed="false">
      <c r="A163" s="20"/>
      <c r="B163" s="21"/>
      <c r="C163" s="21"/>
      <c r="D163" s="21"/>
      <c r="E163" s="21"/>
      <c r="F163" s="22" t="str">
        <f aca="false">IF(A163="","",SUM(B163:E163))</f>
        <v/>
      </c>
      <c r="G163" s="23" t="str">
        <f aca="false">IF(A163="","",B163*Premissas!$C$4+C163*Premissas!$C$7+D163*Premissas!$C$6+E163*Premissas!$C$5)</f>
        <v/>
      </c>
      <c r="H163" s="24" t="str">
        <f aca="false">IF(A163="","",DATE(YEAR(A163),MONTH(A163),1))</f>
        <v/>
      </c>
    </row>
    <row r="164" customFormat="false" ht="14.25" hidden="false" customHeight="false" outlineLevel="0" collapsed="false">
      <c r="A164" s="20"/>
      <c r="B164" s="21"/>
      <c r="C164" s="21"/>
      <c r="D164" s="21"/>
      <c r="E164" s="21"/>
      <c r="F164" s="22" t="str">
        <f aca="false">IF(A164="","",SUM(B164:E164))</f>
        <v/>
      </c>
      <c r="G164" s="23" t="str">
        <f aca="false">IF(A164="","",B164*Premissas!$C$4+C164*Premissas!$C$7+D164*Premissas!$C$6+E164*Premissas!$C$5)</f>
        <v/>
      </c>
      <c r="H164" s="24" t="str">
        <f aca="false">IF(A164="","",DATE(YEAR(A164),MONTH(A164),1))</f>
        <v/>
      </c>
    </row>
    <row r="165" customFormat="false" ht="14.25" hidden="false" customHeight="false" outlineLevel="0" collapsed="false">
      <c r="A165" s="20"/>
      <c r="B165" s="21"/>
      <c r="C165" s="21"/>
      <c r="D165" s="21"/>
      <c r="E165" s="21"/>
      <c r="F165" s="22" t="str">
        <f aca="false">IF(A165="","",SUM(B165:E165))</f>
        <v/>
      </c>
      <c r="G165" s="23" t="str">
        <f aca="false">IF(A165="","",B165*Premissas!$C$4+C165*Premissas!$C$7+D165*Premissas!$C$6+E165*Premissas!$C$5)</f>
        <v/>
      </c>
      <c r="H165" s="24" t="str">
        <f aca="false">IF(A165="","",DATE(YEAR(A165),MONTH(A165),1))</f>
        <v/>
      </c>
    </row>
    <row r="166" customFormat="false" ht="14.25" hidden="false" customHeight="false" outlineLevel="0" collapsed="false">
      <c r="A166" s="20"/>
      <c r="B166" s="21"/>
      <c r="C166" s="21"/>
      <c r="D166" s="21"/>
      <c r="E166" s="21"/>
      <c r="F166" s="22" t="str">
        <f aca="false">IF(A166="","",SUM(B166:E166))</f>
        <v/>
      </c>
      <c r="G166" s="23" t="str">
        <f aca="false">IF(A166="","",B166*Premissas!$C$4+C166*Premissas!$C$7+D166*Premissas!$C$6+E166*Premissas!$C$5)</f>
        <v/>
      </c>
      <c r="H166" s="24" t="str">
        <f aca="false">IF(A166="","",DATE(YEAR(A166),MONTH(A166),1))</f>
        <v/>
      </c>
    </row>
    <row r="167" customFormat="false" ht="14.25" hidden="false" customHeight="false" outlineLevel="0" collapsed="false">
      <c r="A167" s="20"/>
      <c r="B167" s="21"/>
      <c r="C167" s="21"/>
      <c r="D167" s="21"/>
      <c r="E167" s="21"/>
      <c r="F167" s="22" t="str">
        <f aca="false">IF(A167="","",SUM(B167:E167))</f>
        <v/>
      </c>
      <c r="G167" s="23" t="str">
        <f aca="false">IF(A167="","",B167*Premissas!$C$4+C167*Premissas!$C$7+D167*Premissas!$C$6+E167*Premissas!$C$5)</f>
        <v/>
      </c>
      <c r="H167" s="24" t="str">
        <f aca="false">IF(A167="","",DATE(YEAR(A167),MONTH(A167),1))</f>
        <v/>
      </c>
    </row>
    <row r="168" customFormat="false" ht="14.25" hidden="false" customHeight="false" outlineLevel="0" collapsed="false">
      <c r="A168" s="20"/>
      <c r="B168" s="21"/>
      <c r="C168" s="21"/>
      <c r="D168" s="21"/>
      <c r="E168" s="21"/>
      <c r="F168" s="22" t="str">
        <f aca="false">IF(A168="","",SUM(B168:E168))</f>
        <v/>
      </c>
      <c r="G168" s="23" t="str">
        <f aca="false">IF(A168="","",B168*Premissas!$C$4+C168*Premissas!$C$7+D168*Premissas!$C$6+E168*Premissas!$C$5)</f>
        <v/>
      </c>
      <c r="H168" s="24" t="str">
        <f aca="false">IF(A168="","",DATE(YEAR(A168),MONTH(A168),1))</f>
        <v/>
      </c>
    </row>
    <row r="169" customFormat="false" ht="14.25" hidden="false" customHeight="false" outlineLevel="0" collapsed="false">
      <c r="A169" s="20"/>
      <c r="B169" s="21"/>
      <c r="C169" s="21"/>
      <c r="D169" s="21"/>
      <c r="E169" s="21"/>
      <c r="F169" s="22" t="str">
        <f aca="false">IF(A169="","",SUM(B169:E169))</f>
        <v/>
      </c>
      <c r="G169" s="23" t="str">
        <f aca="false">IF(A169="","",B169*Premissas!$C$4+C169*Premissas!$C$7+D169*Premissas!$C$6+E169*Premissas!$C$5)</f>
        <v/>
      </c>
      <c r="H169" s="24" t="str">
        <f aca="false">IF(A169="","",DATE(YEAR(A169),MONTH(A169),1))</f>
        <v/>
      </c>
    </row>
    <row r="170" customFormat="false" ht="14.25" hidden="false" customHeight="false" outlineLevel="0" collapsed="false">
      <c r="A170" s="20"/>
      <c r="B170" s="21"/>
      <c r="C170" s="21"/>
      <c r="D170" s="21"/>
      <c r="E170" s="21"/>
      <c r="F170" s="22" t="str">
        <f aca="false">IF(A170="","",SUM(B170:E170))</f>
        <v/>
      </c>
      <c r="G170" s="23" t="str">
        <f aca="false">IF(A170="","",B170*Premissas!$C$4+C170*Premissas!$C$7+D170*Premissas!$C$6+E170*Premissas!$C$5)</f>
        <v/>
      </c>
      <c r="H170" s="24" t="str">
        <f aca="false">IF(A170="","",DATE(YEAR(A170),MONTH(A170),1))</f>
        <v/>
      </c>
    </row>
    <row r="171" customFormat="false" ht="14.25" hidden="false" customHeight="false" outlineLevel="0" collapsed="false">
      <c r="A171" s="20"/>
      <c r="B171" s="21"/>
      <c r="C171" s="21"/>
      <c r="D171" s="21"/>
      <c r="E171" s="21"/>
      <c r="F171" s="22" t="str">
        <f aca="false">IF(A171="","",SUM(B171:E171))</f>
        <v/>
      </c>
      <c r="G171" s="23" t="str">
        <f aca="false">IF(A171="","",B171*Premissas!$C$4+C171*Premissas!$C$7+D171*Premissas!$C$6+E171*Premissas!$C$5)</f>
        <v/>
      </c>
      <c r="H171" s="24" t="str">
        <f aca="false">IF(A171="","",DATE(YEAR(A171),MONTH(A171),1))</f>
        <v/>
      </c>
    </row>
    <row r="172" customFormat="false" ht="14.25" hidden="false" customHeight="false" outlineLevel="0" collapsed="false">
      <c r="A172" s="20"/>
      <c r="B172" s="21"/>
      <c r="C172" s="21"/>
      <c r="D172" s="21"/>
      <c r="E172" s="21"/>
      <c r="F172" s="22" t="str">
        <f aca="false">IF(A172="","",SUM(B172:E172))</f>
        <v/>
      </c>
      <c r="G172" s="23" t="str">
        <f aca="false">IF(A172="","",B172*Premissas!$C$4+C172*Premissas!$C$7+D172*Premissas!$C$6+E172*Premissas!$C$5)</f>
        <v/>
      </c>
      <c r="H172" s="24" t="str">
        <f aca="false">IF(A172="","",DATE(YEAR(A172),MONTH(A172),1))</f>
        <v/>
      </c>
    </row>
    <row r="173" customFormat="false" ht="14.25" hidden="false" customHeight="false" outlineLevel="0" collapsed="false">
      <c r="A173" s="20"/>
      <c r="B173" s="21"/>
      <c r="C173" s="21"/>
      <c r="D173" s="21"/>
      <c r="E173" s="21"/>
      <c r="F173" s="22" t="str">
        <f aca="false">IF(A173="","",SUM(B173:E173))</f>
        <v/>
      </c>
      <c r="G173" s="23" t="str">
        <f aca="false">IF(A173="","",B173*Premissas!$C$4+C173*Premissas!$C$7+D173*Premissas!$C$6+E173*Premissas!$C$5)</f>
        <v/>
      </c>
      <c r="H173" s="24" t="str">
        <f aca="false">IF(A173="","",DATE(YEAR(A173),MONTH(A173),1))</f>
        <v/>
      </c>
    </row>
    <row r="174" customFormat="false" ht="14.25" hidden="false" customHeight="false" outlineLevel="0" collapsed="false">
      <c r="A174" s="20"/>
      <c r="B174" s="21"/>
      <c r="C174" s="21"/>
      <c r="D174" s="21"/>
      <c r="E174" s="21"/>
      <c r="F174" s="22" t="str">
        <f aca="false">IF(A174="","",SUM(B174:E174))</f>
        <v/>
      </c>
      <c r="G174" s="23" t="str">
        <f aca="false">IF(A174="","",B174*Premissas!$C$4+C174*Premissas!$C$7+D174*Premissas!$C$6+E174*Premissas!$C$5)</f>
        <v/>
      </c>
      <c r="H174" s="24" t="str">
        <f aca="false">IF(A174="","",DATE(YEAR(A174),MONTH(A174),1))</f>
        <v/>
      </c>
    </row>
    <row r="175" customFormat="false" ht="14.25" hidden="false" customHeight="false" outlineLevel="0" collapsed="false">
      <c r="A175" s="20"/>
      <c r="B175" s="21"/>
      <c r="C175" s="21"/>
      <c r="D175" s="21"/>
      <c r="E175" s="21"/>
      <c r="F175" s="22" t="str">
        <f aca="false">IF(A175="","",SUM(B175:E175))</f>
        <v/>
      </c>
      <c r="G175" s="23" t="str">
        <f aca="false">IF(A175="","",B175*Premissas!$C$4+C175*Premissas!$C$7+D175*Premissas!$C$6+E175*Premissas!$C$5)</f>
        <v/>
      </c>
      <c r="H175" s="24" t="str">
        <f aca="false">IF(A175="","",DATE(YEAR(A175),MONTH(A175),1))</f>
        <v/>
      </c>
    </row>
    <row r="176" customFormat="false" ht="14.25" hidden="false" customHeight="false" outlineLevel="0" collapsed="false">
      <c r="A176" s="20"/>
      <c r="B176" s="21"/>
      <c r="C176" s="21"/>
      <c r="D176" s="21"/>
      <c r="E176" s="21"/>
      <c r="F176" s="22" t="str">
        <f aca="false">IF(A176="","",SUM(B176:E176))</f>
        <v/>
      </c>
      <c r="G176" s="23" t="str">
        <f aca="false">IF(A176="","",B176*Premissas!$C$4+C176*Premissas!$C$7+D176*Premissas!$C$6+E176*Premissas!$C$5)</f>
        <v/>
      </c>
      <c r="H176" s="24" t="str">
        <f aca="false">IF(A176="","",DATE(YEAR(A176),MONTH(A176),1))</f>
        <v/>
      </c>
    </row>
    <row r="177" customFormat="false" ht="14.25" hidden="false" customHeight="false" outlineLevel="0" collapsed="false">
      <c r="A177" s="20"/>
      <c r="B177" s="21"/>
      <c r="C177" s="21"/>
      <c r="D177" s="21"/>
      <c r="E177" s="21"/>
      <c r="F177" s="22" t="str">
        <f aca="false">IF(A177="","",SUM(B177:E177))</f>
        <v/>
      </c>
      <c r="G177" s="23" t="str">
        <f aca="false">IF(A177="","",B177*Premissas!$C$4+C177*Premissas!$C$7+D177*Premissas!$C$6+E177*Premissas!$C$5)</f>
        <v/>
      </c>
      <c r="H177" s="24" t="str">
        <f aca="false">IF(A177="","",DATE(YEAR(A177),MONTH(A177),1))</f>
        <v/>
      </c>
    </row>
    <row r="178" customFormat="false" ht="14.25" hidden="false" customHeight="false" outlineLevel="0" collapsed="false">
      <c r="A178" s="20"/>
      <c r="B178" s="21"/>
      <c r="C178" s="21"/>
      <c r="D178" s="21"/>
      <c r="E178" s="21"/>
      <c r="F178" s="22" t="str">
        <f aca="false">IF(A178="","",SUM(B178:E178))</f>
        <v/>
      </c>
      <c r="G178" s="23" t="str">
        <f aca="false">IF(A178="","",B178*Premissas!$C$4+C178*Premissas!$C$7+D178*Premissas!$C$6+E178*Premissas!$C$5)</f>
        <v/>
      </c>
      <c r="H178" s="24" t="str">
        <f aca="false">IF(A178="","",DATE(YEAR(A178),MONTH(A178),1))</f>
        <v/>
      </c>
    </row>
    <row r="179" customFormat="false" ht="14.25" hidden="false" customHeight="false" outlineLevel="0" collapsed="false">
      <c r="A179" s="20"/>
      <c r="B179" s="21"/>
      <c r="C179" s="21"/>
      <c r="D179" s="21"/>
      <c r="E179" s="21"/>
      <c r="F179" s="22" t="str">
        <f aca="false">IF(A179="","",SUM(B179:E179))</f>
        <v/>
      </c>
      <c r="G179" s="23" t="str">
        <f aca="false">IF(A179="","",B179*Premissas!$C$4+C179*Premissas!$C$7+D179*Premissas!$C$6+E179*Premissas!$C$5)</f>
        <v/>
      </c>
      <c r="H179" s="24" t="str">
        <f aca="false">IF(A179="","",DATE(YEAR(A179),MONTH(A179),1))</f>
        <v/>
      </c>
    </row>
    <row r="180" customFormat="false" ht="14.25" hidden="false" customHeight="false" outlineLevel="0" collapsed="false">
      <c r="A180" s="20"/>
      <c r="B180" s="21"/>
      <c r="C180" s="21"/>
      <c r="D180" s="21"/>
      <c r="E180" s="21"/>
      <c r="F180" s="22" t="str">
        <f aca="false">IF(A180="","",SUM(B180:E180))</f>
        <v/>
      </c>
      <c r="G180" s="23" t="str">
        <f aca="false">IF(A180="","",B180*Premissas!$C$4+C180*Premissas!$C$7+D180*Premissas!$C$6+E180*Premissas!$C$5)</f>
        <v/>
      </c>
      <c r="H180" s="24" t="str">
        <f aca="false">IF(A180="","",DATE(YEAR(A180),MONTH(A180),1))</f>
        <v/>
      </c>
    </row>
    <row r="181" customFormat="false" ht="14.25" hidden="false" customHeight="false" outlineLevel="0" collapsed="false">
      <c r="A181" s="20"/>
      <c r="B181" s="21"/>
      <c r="C181" s="21"/>
      <c r="D181" s="21"/>
      <c r="E181" s="21"/>
      <c r="F181" s="22" t="str">
        <f aca="false">IF(A181="","",SUM(B181:E181))</f>
        <v/>
      </c>
      <c r="G181" s="23" t="str">
        <f aca="false">IF(A181="","",B181*Premissas!$C$4+C181*Premissas!$C$7+D181*Premissas!$C$6+E181*Premissas!$C$5)</f>
        <v/>
      </c>
      <c r="H181" s="24" t="str">
        <f aca="false">IF(A181="","",DATE(YEAR(A181),MONTH(A181),1))</f>
        <v/>
      </c>
    </row>
    <row r="182" customFormat="false" ht="14.25" hidden="false" customHeight="false" outlineLevel="0" collapsed="false">
      <c r="A182" s="20"/>
      <c r="B182" s="21"/>
      <c r="C182" s="21"/>
      <c r="D182" s="21"/>
      <c r="E182" s="21"/>
      <c r="F182" s="22" t="str">
        <f aca="false">IF(A182="","",SUM(B182:E182))</f>
        <v/>
      </c>
      <c r="G182" s="23" t="str">
        <f aca="false">IF(A182="","",B182*Premissas!$C$4+C182*Premissas!$C$7+D182*Premissas!$C$6+E182*Premissas!$C$5)</f>
        <v/>
      </c>
      <c r="H182" s="24" t="str">
        <f aca="false">IF(A182="","",DATE(YEAR(A182),MONTH(A182),1))</f>
        <v/>
      </c>
    </row>
    <row r="183" customFormat="false" ht="14.25" hidden="false" customHeight="false" outlineLevel="0" collapsed="false">
      <c r="A183" s="20"/>
      <c r="B183" s="21"/>
      <c r="C183" s="21"/>
      <c r="D183" s="21"/>
      <c r="E183" s="21"/>
      <c r="F183" s="22" t="str">
        <f aca="false">IF(A183="","",SUM(B183:E183))</f>
        <v/>
      </c>
      <c r="G183" s="23" t="str">
        <f aca="false">IF(A183="","",B183*Premissas!$C$4+C183*Premissas!$C$7+D183*Premissas!$C$6+E183*Premissas!$C$5)</f>
        <v/>
      </c>
      <c r="H183" s="24" t="str">
        <f aca="false">IF(A183="","",DATE(YEAR(A183),MONTH(A183),1))</f>
        <v/>
      </c>
    </row>
    <row r="184" customFormat="false" ht="14.25" hidden="false" customHeight="false" outlineLevel="0" collapsed="false">
      <c r="A184" s="20"/>
      <c r="B184" s="21"/>
      <c r="C184" s="21"/>
      <c r="D184" s="21"/>
      <c r="E184" s="21"/>
      <c r="F184" s="22" t="str">
        <f aca="false">IF(A184="","",SUM(B184:E184))</f>
        <v/>
      </c>
      <c r="G184" s="23" t="str">
        <f aca="false">IF(A184="","",B184*Premissas!$C$4+C184*Premissas!$C$7+D184*Premissas!$C$6+E184*Premissas!$C$5)</f>
        <v/>
      </c>
      <c r="H184" s="24" t="str">
        <f aca="false">IF(A184="","",DATE(YEAR(A184),MONTH(A184),1))</f>
        <v/>
      </c>
    </row>
    <row r="185" customFormat="false" ht="14.25" hidden="false" customHeight="false" outlineLevel="0" collapsed="false">
      <c r="A185" s="20"/>
      <c r="B185" s="21"/>
      <c r="C185" s="21"/>
      <c r="D185" s="21"/>
      <c r="E185" s="21"/>
      <c r="F185" s="22" t="str">
        <f aca="false">IF(A185="","",SUM(B185:E185))</f>
        <v/>
      </c>
      <c r="G185" s="23" t="str">
        <f aca="false">IF(A185="","",B185*Premissas!$C$4+C185*Premissas!$C$7+D185*Premissas!$C$6+E185*Premissas!$C$5)</f>
        <v/>
      </c>
      <c r="H185" s="24" t="str">
        <f aca="false">IF(A185="","",DATE(YEAR(A185),MONTH(A185),1))</f>
        <v/>
      </c>
    </row>
    <row r="186" customFormat="false" ht="14.25" hidden="false" customHeight="false" outlineLevel="0" collapsed="false">
      <c r="A186" s="20"/>
      <c r="B186" s="21"/>
      <c r="C186" s="21"/>
      <c r="D186" s="21"/>
      <c r="E186" s="21"/>
      <c r="F186" s="22" t="str">
        <f aca="false">IF(A186="","",SUM(B186:E186))</f>
        <v/>
      </c>
      <c r="G186" s="23" t="str">
        <f aca="false">IF(A186="","",B186*Premissas!$C$4+C186*Premissas!$C$7+D186*Premissas!$C$6+E186*Premissas!$C$5)</f>
        <v/>
      </c>
      <c r="H186" s="24" t="str">
        <f aca="false">IF(A186="","",DATE(YEAR(A186),MONTH(A186),1))</f>
        <v/>
      </c>
    </row>
    <row r="187" customFormat="false" ht="14.25" hidden="false" customHeight="false" outlineLevel="0" collapsed="false">
      <c r="A187" s="20"/>
      <c r="B187" s="21"/>
      <c r="C187" s="21"/>
      <c r="D187" s="21"/>
      <c r="E187" s="21"/>
      <c r="F187" s="22" t="str">
        <f aca="false">IF(A187="","",SUM(B187:E187))</f>
        <v/>
      </c>
      <c r="G187" s="23" t="str">
        <f aca="false">IF(A187="","",B187*Premissas!$C$4+C187*Premissas!$C$7+D187*Premissas!$C$6+E187*Premissas!$C$5)</f>
        <v/>
      </c>
      <c r="H187" s="24" t="str">
        <f aca="false">IF(A187="","",DATE(YEAR(A187),MONTH(A187),1))</f>
        <v/>
      </c>
    </row>
    <row r="188" customFormat="false" ht="14.25" hidden="false" customHeight="false" outlineLevel="0" collapsed="false">
      <c r="A188" s="20"/>
      <c r="B188" s="21"/>
      <c r="C188" s="21"/>
      <c r="D188" s="21"/>
      <c r="E188" s="21"/>
      <c r="F188" s="22" t="str">
        <f aca="false">IF(A188="","",SUM(B188:E188))</f>
        <v/>
      </c>
      <c r="G188" s="23" t="str">
        <f aca="false">IF(A188="","",B188*Premissas!$C$4+C188*Premissas!$C$7+D188*Premissas!$C$6+E188*Premissas!$C$5)</f>
        <v/>
      </c>
      <c r="H188" s="24" t="str">
        <f aca="false">IF(A188="","",DATE(YEAR(A188),MONTH(A188),1))</f>
        <v/>
      </c>
    </row>
    <row r="189" customFormat="false" ht="14.25" hidden="false" customHeight="false" outlineLevel="0" collapsed="false">
      <c r="A189" s="20"/>
      <c r="B189" s="21"/>
      <c r="C189" s="21"/>
      <c r="D189" s="21"/>
      <c r="E189" s="21"/>
      <c r="F189" s="22" t="str">
        <f aca="false">IF(A189="","",SUM(B189:E189))</f>
        <v/>
      </c>
      <c r="G189" s="23" t="str">
        <f aca="false">IF(A189="","",B189*Premissas!$C$4+C189*Premissas!$C$7+D189*Premissas!$C$6+E189*Premissas!$C$5)</f>
        <v/>
      </c>
      <c r="H189" s="24" t="str">
        <f aca="false">IF(A189="","",DATE(YEAR(A189),MONTH(A189),1))</f>
        <v/>
      </c>
    </row>
    <row r="190" customFormat="false" ht="14.25" hidden="false" customHeight="false" outlineLevel="0" collapsed="false">
      <c r="A190" s="20"/>
      <c r="B190" s="21"/>
      <c r="C190" s="21"/>
      <c r="D190" s="21"/>
      <c r="E190" s="21"/>
      <c r="F190" s="22" t="str">
        <f aca="false">IF(A190="","",SUM(B190:E190))</f>
        <v/>
      </c>
      <c r="G190" s="23" t="str">
        <f aca="false">IF(A190="","",B190*Premissas!$C$4+C190*Premissas!$C$7+D190*Premissas!$C$6+E190*Premissas!$C$5)</f>
        <v/>
      </c>
      <c r="H190" s="24" t="str">
        <f aca="false">IF(A190="","",DATE(YEAR(A190),MONTH(A190),1))</f>
        <v/>
      </c>
    </row>
    <row r="191" customFormat="false" ht="14.25" hidden="false" customHeight="false" outlineLevel="0" collapsed="false">
      <c r="A191" s="20"/>
      <c r="B191" s="21"/>
      <c r="C191" s="21"/>
      <c r="D191" s="21"/>
      <c r="E191" s="21"/>
      <c r="F191" s="22" t="str">
        <f aca="false">IF(A191="","",SUM(B191:E191))</f>
        <v/>
      </c>
      <c r="G191" s="23" t="str">
        <f aca="false">IF(A191="","",B191*Premissas!$C$4+C191*Premissas!$C$7+D191*Premissas!$C$6+E191*Premissas!$C$5)</f>
        <v/>
      </c>
      <c r="H191" s="24" t="str">
        <f aca="false">IF(A191="","",DATE(YEAR(A191),MONTH(A191),1))</f>
        <v/>
      </c>
    </row>
    <row r="192" customFormat="false" ht="14.25" hidden="false" customHeight="false" outlineLevel="0" collapsed="false">
      <c r="A192" s="20"/>
      <c r="B192" s="21"/>
      <c r="C192" s="21"/>
      <c r="D192" s="21"/>
      <c r="E192" s="21"/>
      <c r="F192" s="22" t="str">
        <f aca="false">IF(A192="","",SUM(B192:E192))</f>
        <v/>
      </c>
      <c r="G192" s="23" t="str">
        <f aca="false">IF(A192="","",B192*Premissas!$C$4+C192*Premissas!$C$7+D192*Premissas!$C$6+E192*Premissas!$C$5)</f>
        <v/>
      </c>
      <c r="H192" s="24" t="str">
        <f aca="false">IF(A192="","",DATE(YEAR(A192),MONTH(A192),1))</f>
        <v/>
      </c>
    </row>
    <row r="193" customFormat="false" ht="14.25" hidden="false" customHeight="false" outlineLevel="0" collapsed="false">
      <c r="A193" s="20"/>
      <c r="B193" s="21"/>
      <c r="C193" s="21"/>
      <c r="D193" s="21"/>
      <c r="E193" s="21"/>
      <c r="F193" s="22" t="str">
        <f aca="false">IF(A193="","",SUM(B193:E193))</f>
        <v/>
      </c>
      <c r="G193" s="23" t="str">
        <f aca="false">IF(A193="","",B193*Premissas!$C$4+C193*Premissas!$C$7+D193*Premissas!$C$6+E193*Premissas!$C$5)</f>
        <v/>
      </c>
      <c r="H193" s="24" t="str">
        <f aca="false">IF(A193="","",DATE(YEAR(A193),MONTH(A193),1))</f>
        <v/>
      </c>
    </row>
    <row r="194" customFormat="false" ht="14.25" hidden="false" customHeight="false" outlineLevel="0" collapsed="false">
      <c r="A194" s="20"/>
      <c r="B194" s="21"/>
      <c r="C194" s="21"/>
      <c r="D194" s="21"/>
      <c r="E194" s="21"/>
      <c r="F194" s="22" t="str">
        <f aca="false">IF(A194="","",SUM(B194:E194))</f>
        <v/>
      </c>
      <c r="G194" s="23" t="str">
        <f aca="false">IF(A194="","",B194*Premissas!$C$4+C194*Premissas!$C$7+D194*Premissas!$C$6+E194*Premissas!$C$5)</f>
        <v/>
      </c>
      <c r="H194" s="24" t="str">
        <f aca="false">IF(A194="","",DATE(YEAR(A194),MONTH(A194),1))</f>
        <v/>
      </c>
    </row>
    <row r="195" customFormat="false" ht="14.25" hidden="false" customHeight="false" outlineLevel="0" collapsed="false">
      <c r="A195" s="20"/>
      <c r="B195" s="21"/>
      <c r="C195" s="21"/>
      <c r="D195" s="21"/>
      <c r="E195" s="21"/>
      <c r="F195" s="22" t="str">
        <f aca="false">IF(A195="","",SUM(B195:E195))</f>
        <v/>
      </c>
      <c r="G195" s="23" t="str">
        <f aca="false">IF(A195="","",B195*Premissas!$C$4+C195*Premissas!$C$7+D195*Premissas!$C$6+E195*Premissas!$C$5)</f>
        <v/>
      </c>
      <c r="H195" s="24" t="str">
        <f aca="false">IF(A195="","",DATE(YEAR(A195),MONTH(A195),1))</f>
        <v/>
      </c>
    </row>
    <row r="196" customFormat="false" ht="14.25" hidden="false" customHeight="false" outlineLevel="0" collapsed="false">
      <c r="A196" s="20"/>
      <c r="B196" s="21"/>
      <c r="C196" s="21"/>
      <c r="D196" s="21"/>
      <c r="E196" s="21"/>
      <c r="F196" s="22" t="str">
        <f aca="false">IF(A196="","",SUM(B196:E196))</f>
        <v/>
      </c>
      <c r="G196" s="23" t="str">
        <f aca="false">IF(A196="","",B196*Premissas!$C$4+C196*Premissas!$C$7+D196*Premissas!$C$6+E196*Premissas!$C$5)</f>
        <v/>
      </c>
      <c r="H196" s="24" t="str">
        <f aca="false">IF(A196="","",DATE(YEAR(A196),MONTH(A196),1))</f>
        <v/>
      </c>
    </row>
    <row r="197" customFormat="false" ht="14.25" hidden="false" customHeight="false" outlineLevel="0" collapsed="false">
      <c r="A197" s="20"/>
      <c r="B197" s="21"/>
      <c r="C197" s="21"/>
      <c r="D197" s="21"/>
      <c r="E197" s="21"/>
      <c r="F197" s="22" t="str">
        <f aca="false">IF(A197="","",SUM(B197:E197))</f>
        <v/>
      </c>
      <c r="G197" s="23" t="str">
        <f aca="false">IF(A197="","",B197*Premissas!$C$4+C197*Premissas!$C$7+D197*Premissas!$C$6+E197*Premissas!$C$5)</f>
        <v/>
      </c>
      <c r="H197" s="24" t="str">
        <f aca="false">IF(A197="","",DATE(YEAR(A197),MONTH(A197),1))</f>
        <v/>
      </c>
    </row>
    <row r="198" customFormat="false" ht="14.25" hidden="false" customHeight="false" outlineLevel="0" collapsed="false">
      <c r="A198" s="20"/>
      <c r="B198" s="21"/>
      <c r="C198" s="21"/>
      <c r="D198" s="21"/>
      <c r="E198" s="21"/>
      <c r="F198" s="22" t="str">
        <f aca="false">IF(A198="","",SUM(B198:E198))</f>
        <v/>
      </c>
      <c r="G198" s="23" t="str">
        <f aca="false">IF(A198="","",B198*Premissas!$C$4+C198*Premissas!$C$7+D198*Premissas!$C$6+E198*Premissas!$C$5)</f>
        <v/>
      </c>
      <c r="H198" s="24" t="str">
        <f aca="false">IF(A198="","",DATE(YEAR(A198),MONTH(A198),1))</f>
        <v/>
      </c>
    </row>
    <row r="199" customFormat="false" ht="14.25" hidden="false" customHeight="false" outlineLevel="0" collapsed="false">
      <c r="A199" s="20"/>
      <c r="B199" s="21"/>
      <c r="C199" s="21"/>
      <c r="D199" s="21"/>
      <c r="E199" s="21"/>
      <c r="F199" s="22" t="str">
        <f aca="false">IF(A199="","",SUM(B199:E199))</f>
        <v/>
      </c>
      <c r="G199" s="23" t="str">
        <f aca="false">IF(A199="","",B199*Premissas!$C$4+C199*Premissas!$C$7+D199*Premissas!$C$6+E199*Premissas!$C$5)</f>
        <v/>
      </c>
      <c r="H199" s="24" t="str">
        <f aca="false">IF(A199="","",DATE(YEAR(A199),MONTH(A199),1))</f>
        <v/>
      </c>
    </row>
    <row r="200" customFormat="false" ht="14.25" hidden="false" customHeight="false" outlineLevel="0" collapsed="false">
      <c r="A200" s="20"/>
      <c r="B200" s="21"/>
      <c r="C200" s="21"/>
      <c r="D200" s="21"/>
      <c r="E200" s="21"/>
      <c r="F200" s="22" t="str">
        <f aca="false">IF(A200="","",SUM(B200:E200))</f>
        <v/>
      </c>
      <c r="G200" s="23" t="str">
        <f aca="false">IF(A200="","",B200*Premissas!$C$4+C200*Premissas!$C$7+D200*Premissas!$C$6+E200*Premissas!$C$5)</f>
        <v/>
      </c>
      <c r="H200" s="24" t="str">
        <f aca="false">IF(A200="","",DATE(YEAR(A200),MONTH(A200),1))</f>
        <v/>
      </c>
    </row>
    <row r="201" customFormat="false" ht="14.25" hidden="false" customHeight="false" outlineLevel="0" collapsed="false">
      <c r="A201" s="20"/>
      <c r="B201" s="21"/>
      <c r="C201" s="21"/>
      <c r="D201" s="21"/>
      <c r="E201" s="21"/>
      <c r="F201" s="22" t="str">
        <f aca="false">IF(A201="","",SUM(B201:E201))</f>
        <v/>
      </c>
      <c r="G201" s="23" t="str">
        <f aca="false">IF(A201="","",B201*Premissas!$C$4+C201*Premissas!$C$7+D201*Premissas!$C$6+E201*Premissas!$C$5)</f>
        <v/>
      </c>
      <c r="H201" s="24" t="str">
        <f aca="false">IF(A201="","",DATE(YEAR(A201),MONTH(A201),1))</f>
        <v/>
      </c>
    </row>
    <row r="202" customFormat="false" ht="14.25" hidden="false" customHeight="false" outlineLevel="0" collapsed="false">
      <c r="A202" s="20"/>
      <c r="B202" s="21"/>
      <c r="C202" s="21"/>
      <c r="D202" s="21"/>
      <c r="E202" s="21"/>
      <c r="F202" s="22" t="str">
        <f aca="false">IF(A202="","",SUM(B202:E202))</f>
        <v/>
      </c>
      <c r="G202" s="23" t="str">
        <f aca="false">IF(A202="","",B202*Premissas!$C$4+C202*Premissas!$C$7+D202*Premissas!$C$6+E202*Premissas!$C$5)</f>
        <v/>
      </c>
      <c r="H202" s="24" t="str">
        <f aca="false">IF(A202="","",DATE(YEAR(A202),MONTH(A202),1))</f>
        <v/>
      </c>
    </row>
    <row r="203" customFormat="false" ht="14.25" hidden="false" customHeight="false" outlineLevel="0" collapsed="false">
      <c r="A203" s="20"/>
      <c r="B203" s="21"/>
      <c r="C203" s="21"/>
      <c r="D203" s="21"/>
      <c r="E203" s="21"/>
      <c r="F203" s="22" t="str">
        <f aca="false">IF(A203="","",SUM(B203:E203))</f>
        <v/>
      </c>
      <c r="G203" s="23" t="str">
        <f aca="false">IF(A203="","",B203*Premissas!$C$4+C203*Premissas!$C$7+D203*Premissas!$C$6+E203*Premissas!$C$5)</f>
        <v/>
      </c>
      <c r="H203" s="24" t="str">
        <f aca="false">IF(A203="","",DATE(YEAR(A203),MONTH(A203),1))</f>
        <v/>
      </c>
    </row>
    <row r="204" customFormat="false" ht="14.25" hidden="false" customHeight="false" outlineLevel="0" collapsed="false">
      <c r="A204" s="20"/>
      <c r="B204" s="21"/>
      <c r="C204" s="21"/>
      <c r="D204" s="21"/>
      <c r="E204" s="21"/>
      <c r="F204" s="22" t="str">
        <f aca="false">IF(A204="","",SUM(B204:E204))</f>
        <v/>
      </c>
      <c r="G204" s="23" t="str">
        <f aca="false">IF(A204="","",B204*Premissas!$C$4+C204*Premissas!$C$7+D204*Premissas!$C$6+E204*Premissas!$C$5)</f>
        <v/>
      </c>
      <c r="H204" s="24" t="str">
        <f aca="false">IF(A204="","",DATE(YEAR(A204),MONTH(A204),1))</f>
        <v/>
      </c>
    </row>
    <row r="205" customFormat="false" ht="14.25" hidden="false" customHeight="false" outlineLevel="0" collapsed="false">
      <c r="A205" s="20"/>
      <c r="B205" s="21"/>
      <c r="C205" s="21"/>
      <c r="D205" s="21"/>
      <c r="E205" s="21"/>
      <c r="F205" s="22" t="str">
        <f aca="false">IF(A205="","",SUM(B205:E205))</f>
        <v/>
      </c>
      <c r="G205" s="23" t="str">
        <f aca="false">IF(A205="","",B205*Premissas!$C$4+C205*Premissas!$C$7+D205*Premissas!$C$6+E205*Premissas!$C$5)</f>
        <v/>
      </c>
      <c r="H205" s="24" t="str">
        <f aca="false">IF(A205="","",DATE(YEAR(A205),MONTH(A205),1))</f>
        <v/>
      </c>
    </row>
    <row r="206" customFormat="false" ht="14.25" hidden="false" customHeight="false" outlineLevel="0" collapsed="false">
      <c r="A206" s="20"/>
      <c r="B206" s="21"/>
      <c r="C206" s="21"/>
      <c r="D206" s="21"/>
      <c r="E206" s="21"/>
      <c r="F206" s="22" t="str">
        <f aca="false">IF(A206="","",SUM(B206:E206))</f>
        <v/>
      </c>
      <c r="G206" s="23" t="str">
        <f aca="false">IF(A206="","",B206*Premissas!$C$4+C206*Premissas!$C$7+D206*Premissas!$C$6+E206*Premissas!$C$5)</f>
        <v/>
      </c>
      <c r="H206" s="24" t="str">
        <f aca="false">IF(A206="","",DATE(YEAR(A206),MONTH(A206),1))</f>
        <v/>
      </c>
    </row>
    <row r="207" customFormat="false" ht="14.25" hidden="false" customHeight="false" outlineLevel="0" collapsed="false">
      <c r="A207" s="20"/>
      <c r="B207" s="21"/>
      <c r="C207" s="21"/>
      <c r="D207" s="21"/>
      <c r="E207" s="21"/>
      <c r="F207" s="22" t="str">
        <f aca="false">IF(A207="","",SUM(B207:E207))</f>
        <v/>
      </c>
      <c r="G207" s="23" t="str">
        <f aca="false">IF(A207="","",B207*Premissas!$C$4+C207*Premissas!$C$7+D207*Premissas!$C$6+E207*Premissas!$C$5)</f>
        <v/>
      </c>
      <c r="H207" s="24" t="str">
        <f aca="false">IF(A207="","",DATE(YEAR(A207),MONTH(A207),1))</f>
        <v/>
      </c>
    </row>
    <row r="208" customFormat="false" ht="14.25" hidden="false" customHeight="false" outlineLevel="0" collapsed="false">
      <c r="A208" s="20"/>
      <c r="B208" s="21"/>
      <c r="C208" s="21"/>
      <c r="D208" s="21"/>
      <c r="E208" s="21"/>
      <c r="F208" s="22" t="str">
        <f aca="false">IF(A208="","",SUM(B208:E208))</f>
        <v/>
      </c>
      <c r="G208" s="23" t="str">
        <f aca="false">IF(A208="","",B208*Premissas!$C$4+C208*Premissas!$C$7+D208*Premissas!$C$6+E208*Premissas!$C$5)</f>
        <v/>
      </c>
      <c r="H208" s="24" t="str">
        <f aca="false">IF(A208="","",DATE(YEAR(A208),MONTH(A208),1))</f>
        <v/>
      </c>
    </row>
    <row r="209" customFormat="false" ht="14.25" hidden="false" customHeight="false" outlineLevel="0" collapsed="false">
      <c r="A209" s="20"/>
      <c r="B209" s="21"/>
      <c r="C209" s="21"/>
      <c r="D209" s="21"/>
      <c r="E209" s="21"/>
      <c r="F209" s="22" t="str">
        <f aca="false">IF(A209="","",SUM(B209:E209))</f>
        <v/>
      </c>
      <c r="G209" s="23" t="str">
        <f aca="false">IF(A209="","",B209*Premissas!$C$4+C209*Premissas!$C$7+D209*Premissas!$C$6+E209*Premissas!$C$5)</f>
        <v/>
      </c>
      <c r="H209" s="24" t="str">
        <f aca="false">IF(A209="","",DATE(YEAR(A209),MONTH(A209),1))</f>
        <v/>
      </c>
    </row>
    <row r="210" customFormat="false" ht="14.25" hidden="false" customHeight="false" outlineLevel="0" collapsed="false">
      <c r="A210" s="20"/>
      <c r="B210" s="21"/>
      <c r="C210" s="21"/>
      <c r="D210" s="21"/>
      <c r="E210" s="21"/>
      <c r="F210" s="22" t="str">
        <f aca="false">IF(A210="","",SUM(B210:E210))</f>
        <v/>
      </c>
      <c r="G210" s="23" t="str">
        <f aca="false">IF(A210="","",B210*Premissas!$C$4+C210*Premissas!$C$7+D210*Premissas!$C$6+E210*Premissas!$C$5)</f>
        <v/>
      </c>
      <c r="H210" s="24" t="str">
        <f aca="false">IF(A210="","",DATE(YEAR(A210),MONTH(A210),1))</f>
        <v/>
      </c>
    </row>
    <row r="211" customFormat="false" ht="14.25" hidden="false" customHeight="false" outlineLevel="0" collapsed="false">
      <c r="A211" s="20"/>
      <c r="B211" s="21"/>
      <c r="C211" s="21"/>
      <c r="D211" s="21"/>
      <c r="E211" s="21"/>
      <c r="F211" s="22" t="str">
        <f aca="false">IF(A211="","",SUM(B211:E211))</f>
        <v/>
      </c>
      <c r="G211" s="23" t="str">
        <f aca="false">IF(A211="","",B211*Premissas!$C$4+C211*Premissas!$C$7+D211*Premissas!$C$6+E211*Premissas!$C$5)</f>
        <v/>
      </c>
      <c r="H211" s="24" t="str">
        <f aca="false">IF(A211="","",DATE(YEAR(A211),MONTH(A211),1))</f>
        <v/>
      </c>
    </row>
    <row r="212" customFormat="false" ht="14.25" hidden="false" customHeight="false" outlineLevel="0" collapsed="false">
      <c r="A212" s="20"/>
      <c r="B212" s="21"/>
      <c r="C212" s="21"/>
      <c r="D212" s="21"/>
      <c r="E212" s="21"/>
      <c r="F212" s="22" t="str">
        <f aca="false">IF(A212="","",SUM(B212:E212))</f>
        <v/>
      </c>
      <c r="G212" s="23" t="str">
        <f aca="false">IF(A212="","",B212*Premissas!$C$4+C212*Premissas!$C$7+D212*Premissas!$C$6+E212*Premissas!$C$5)</f>
        <v/>
      </c>
      <c r="H212" s="24" t="str">
        <f aca="false">IF(A212="","",DATE(YEAR(A212),MONTH(A212),1))</f>
        <v/>
      </c>
    </row>
    <row r="213" customFormat="false" ht="14.25" hidden="false" customHeight="false" outlineLevel="0" collapsed="false">
      <c r="A213" s="20"/>
      <c r="B213" s="21"/>
      <c r="C213" s="21"/>
      <c r="D213" s="21"/>
      <c r="E213" s="21"/>
      <c r="F213" s="22" t="str">
        <f aca="false">IF(A213="","",SUM(B213:E213))</f>
        <v/>
      </c>
      <c r="G213" s="23" t="str">
        <f aca="false">IF(A213="","",B213*Premissas!$C$4+C213*Premissas!$C$7+D213*Premissas!$C$6+E213*Premissas!$C$5)</f>
        <v/>
      </c>
      <c r="H213" s="24" t="str">
        <f aca="false">IF(A213="","",DATE(YEAR(A213),MONTH(A213),1))</f>
        <v/>
      </c>
    </row>
    <row r="214" customFormat="false" ht="14.25" hidden="false" customHeight="false" outlineLevel="0" collapsed="false">
      <c r="A214" s="20"/>
      <c r="B214" s="21"/>
      <c r="C214" s="21"/>
      <c r="D214" s="21"/>
      <c r="E214" s="21"/>
      <c r="F214" s="22" t="str">
        <f aca="false">IF(A214="","",SUM(B214:E214))</f>
        <v/>
      </c>
      <c r="G214" s="23" t="str">
        <f aca="false">IF(A214="","",B214*Premissas!$C$4+C214*Premissas!$C$7+D214*Premissas!$C$6+E214*Premissas!$C$5)</f>
        <v/>
      </c>
      <c r="H214" s="24" t="str">
        <f aca="false">IF(A214="","",DATE(YEAR(A214),MONTH(A214),1))</f>
        <v/>
      </c>
    </row>
    <row r="215" customFormat="false" ht="14.25" hidden="false" customHeight="false" outlineLevel="0" collapsed="false">
      <c r="A215" s="20"/>
      <c r="B215" s="21"/>
      <c r="C215" s="21"/>
      <c r="D215" s="21"/>
      <c r="E215" s="21"/>
      <c r="F215" s="22" t="str">
        <f aca="false">IF(A215="","",SUM(B215:E215))</f>
        <v/>
      </c>
      <c r="G215" s="23" t="str">
        <f aca="false">IF(A215="","",B215*Premissas!$C$4+C215*Premissas!$C$7+D215*Premissas!$C$6+E215*Premissas!$C$5)</f>
        <v/>
      </c>
      <c r="H215" s="24" t="str">
        <f aca="false">IF(A215="","",DATE(YEAR(A215),MONTH(A215),1))</f>
        <v/>
      </c>
    </row>
    <row r="216" customFormat="false" ht="14.25" hidden="false" customHeight="false" outlineLevel="0" collapsed="false">
      <c r="A216" s="20"/>
      <c r="B216" s="21"/>
      <c r="C216" s="21"/>
      <c r="D216" s="21"/>
      <c r="E216" s="21"/>
      <c r="F216" s="22" t="str">
        <f aca="false">IF(A216="","",SUM(B216:E216))</f>
        <v/>
      </c>
      <c r="G216" s="23" t="str">
        <f aca="false">IF(A216="","",B216*Premissas!$C$4+C216*Premissas!$C$7+D216*Premissas!$C$6+E216*Premissas!$C$5)</f>
        <v/>
      </c>
      <c r="H216" s="24" t="str">
        <f aca="false">IF(A216="","",DATE(YEAR(A216),MONTH(A216),1))</f>
        <v/>
      </c>
    </row>
    <row r="217" customFormat="false" ht="14.25" hidden="false" customHeight="false" outlineLevel="0" collapsed="false">
      <c r="A217" s="20"/>
      <c r="B217" s="21"/>
      <c r="C217" s="21"/>
      <c r="D217" s="21"/>
      <c r="E217" s="21"/>
      <c r="F217" s="22" t="str">
        <f aca="false">IF(A217="","",SUM(B217:E217))</f>
        <v/>
      </c>
      <c r="G217" s="23" t="str">
        <f aca="false">IF(A217="","",B217*Premissas!$C$4+C217*Premissas!$C$7+D217*Premissas!$C$6+E217*Premissas!$C$5)</f>
        <v/>
      </c>
      <c r="H217" s="24" t="str">
        <f aca="false">IF(A217="","",DATE(YEAR(A217),MONTH(A217),1))</f>
        <v/>
      </c>
    </row>
    <row r="218" customFormat="false" ht="14.25" hidden="false" customHeight="false" outlineLevel="0" collapsed="false">
      <c r="A218" s="20"/>
      <c r="B218" s="21"/>
      <c r="C218" s="21"/>
      <c r="D218" s="21"/>
      <c r="E218" s="21"/>
      <c r="F218" s="22" t="str">
        <f aca="false">IF(A218="","",SUM(B218:E218))</f>
        <v/>
      </c>
      <c r="G218" s="23" t="str">
        <f aca="false">IF(A218="","",B218*Premissas!$C$4+C218*Premissas!$C$7+D218*Premissas!$C$6+E218*Premissas!$C$5)</f>
        <v/>
      </c>
      <c r="H218" s="24" t="str">
        <f aca="false">IF(A218="","",DATE(YEAR(A218),MONTH(A218),1))</f>
        <v/>
      </c>
    </row>
    <row r="219" customFormat="false" ht="14.25" hidden="false" customHeight="false" outlineLevel="0" collapsed="false">
      <c r="A219" s="20"/>
      <c r="B219" s="21"/>
      <c r="C219" s="21"/>
      <c r="D219" s="21"/>
      <c r="E219" s="21"/>
      <c r="F219" s="22" t="str">
        <f aca="false">IF(A219="","",SUM(B219:E219))</f>
        <v/>
      </c>
      <c r="G219" s="23" t="str">
        <f aca="false">IF(A219="","",B219*Premissas!$C$4+C219*Premissas!$C$7+D219*Premissas!$C$6+E219*Premissas!$C$5)</f>
        <v/>
      </c>
      <c r="H219" s="24" t="str">
        <f aca="false">IF(A219="","",DATE(YEAR(A219),MONTH(A219),1))</f>
        <v/>
      </c>
    </row>
    <row r="220" customFormat="false" ht="14.25" hidden="false" customHeight="false" outlineLevel="0" collapsed="false">
      <c r="A220" s="20"/>
      <c r="B220" s="21"/>
      <c r="C220" s="21"/>
      <c r="D220" s="21"/>
      <c r="E220" s="21"/>
      <c r="F220" s="22" t="str">
        <f aca="false">IF(A220="","",SUM(B220:E220))</f>
        <v/>
      </c>
      <c r="G220" s="23" t="str">
        <f aca="false">IF(A220="","",B220*Premissas!$C$4+C220*Premissas!$C$7+D220*Premissas!$C$6+E220*Premissas!$C$5)</f>
        <v/>
      </c>
      <c r="H220" s="24" t="str">
        <f aca="false">IF(A220="","",DATE(YEAR(A220),MONTH(A220),1))</f>
        <v/>
      </c>
    </row>
    <row r="221" customFormat="false" ht="14.25" hidden="false" customHeight="false" outlineLevel="0" collapsed="false">
      <c r="A221" s="20"/>
      <c r="B221" s="21"/>
      <c r="C221" s="21"/>
      <c r="D221" s="21"/>
      <c r="E221" s="21"/>
      <c r="F221" s="22" t="str">
        <f aca="false">IF(A221="","",SUM(B221:E221))</f>
        <v/>
      </c>
      <c r="G221" s="23" t="str">
        <f aca="false">IF(A221="","",B221*Premissas!$C$4+C221*Premissas!$C$7+D221*Premissas!$C$6+E221*Premissas!$C$5)</f>
        <v/>
      </c>
      <c r="H221" s="24" t="str">
        <f aca="false">IF(A221="","",DATE(YEAR(A221),MONTH(A221),1))</f>
        <v/>
      </c>
    </row>
    <row r="222" customFormat="false" ht="14.25" hidden="false" customHeight="false" outlineLevel="0" collapsed="false">
      <c r="A222" s="20"/>
      <c r="B222" s="21"/>
      <c r="C222" s="21"/>
      <c r="D222" s="21"/>
      <c r="E222" s="21"/>
      <c r="F222" s="22" t="str">
        <f aca="false">IF(A222="","",SUM(B222:E222))</f>
        <v/>
      </c>
      <c r="G222" s="23" t="str">
        <f aca="false">IF(A222="","",B222*Premissas!$C$4+C222*Premissas!$C$7+D222*Premissas!$C$6+E222*Premissas!$C$5)</f>
        <v/>
      </c>
      <c r="H222" s="24" t="str">
        <f aca="false">IF(A222="","",DATE(YEAR(A222),MONTH(A222),1))</f>
        <v/>
      </c>
    </row>
    <row r="223" customFormat="false" ht="14.25" hidden="false" customHeight="false" outlineLevel="0" collapsed="false">
      <c r="A223" s="20"/>
      <c r="B223" s="21"/>
      <c r="C223" s="21"/>
      <c r="D223" s="21"/>
      <c r="E223" s="21"/>
      <c r="F223" s="22" t="str">
        <f aca="false">IF(A223="","",SUM(B223:E223))</f>
        <v/>
      </c>
      <c r="G223" s="23" t="str">
        <f aca="false">IF(A223="","",B223*Premissas!$C$4+C223*Premissas!$C$7+D223*Premissas!$C$6+E223*Premissas!$C$5)</f>
        <v/>
      </c>
      <c r="H223" s="24" t="str">
        <f aca="false">IF(A223="","",DATE(YEAR(A223),MONTH(A223),1))</f>
        <v/>
      </c>
    </row>
    <row r="224" customFormat="false" ht="14.25" hidden="false" customHeight="false" outlineLevel="0" collapsed="false">
      <c r="A224" s="20"/>
      <c r="B224" s="21"/>
      <c r="C224" s="21"/>
      <c r="D224" s="21"/>
      <c r="E224" s="21"/>
      <c r="F224" s="22" t="str">
        <f aca="false">IF(A224="","",SUM(B224:E224))</f>
        <v/>
      </c>
      <c r="G224" s="23" t="str">
        <f aca="false">IF(A224="","",B224*Premissas!$C$4+C224*Premissas!$C$7+D224*Premissas!$C$6+E224*Premissas!$C$5)</f>
        <v/>
      </c>
      <c r="H224" s="24" t="str">
        <f aca="false">IF(A224="","",DATE(YEAR(A224),MONTH(A224),1))</f>
        <v/>
      </c>
    </row>
    <row r="225" customFormat="false" ht="14.25" hidden="false" customHeight="false" outlineLevel="0" collapsed="false">
      <c r="A225" s="20"/>
      <c r="B225" s="21"/>
      <c r="C225" s="21"/>
      <c r="D225" s="21"/>
      <c r="E225" s="21"/>
      <c r="F225" s="22" t="str">
        <f aca="false">IF(A225="","",SUM(B225:E225))</f>
        <v/>
      </c>
      <c r="G225" s="23" t="str">
        <f aca="false">IF(A225="","",B225*Premissas!$C$4+C225*Premissas!$C$7+D225*Premissas!$C$6+E225*Premissas!$C$5)</f>
        <v/>
      </c>
      <c r="H225" s="24" t="str">
        <f aca="false">IF(A225="","",DATE(YEAR(A225),MONTH(A225),1))</f>
        <v/>
      </c>
    </row>
    <row r="226" customFormat="false" ht="14.25" hidden="false" customHeight="false" outlineLevel="0" collapsed="false">
      <c r="A226" s="20"/>
      <c r="B226" s="21"/>
      <c r="C226" s="21"/>
      <c r="D226" s="21"/>
      <c r="E226" s="21"/>
      <c r="F226" s="22" t="str">
        <f aca="false">IF(A226="","",SUM(B226:E226))</f>
        <v/>
      </c>
      <c r="G226" s="23" t="str">
        <f aca="false">IF(A226="","",B226*Premissas!$C$4+C226*Premissas!$C$7+D226*Premissas!$C$6+E226*Premissas!$C$5)</f>
        <v/>
      </c>
      <c r="H226" s="24" t="str">
        <f aca="false">IF(A226="","",DATE(YEAR(A226),MONTH(A226),1))</f>
        <v/>
      </c>
    </row>
    <row r="227" customFormat="false" ht="14.25" hidden="false" customHeight="false" outlineLevel="0" collapsed="false">
      <c r="A227" s="20"/>
      <c r="B227" s="21"/>
      <c r="C227" s="21"/>
      <c r="D227" s="21"/>
      <c r="E227" s="21"/>
      <c r="F227" s="22" t="str">
        <f aca="false">IF(A227="","",SUM(B227:E227))</f>
        <v/>
      </c>
      <c r="G227" s="23" t="str">
        <f aca="false">IF(A227="","",B227*Premissas!$C$4+C227*Premissas!$C$7+D227*Premissas!$C$6+E227*Premissas!$C$5)</f>
        <v/>
      </c>
      <c r="H227" s="24" t="str">
        <f aca="false">IF(A227="","",DATE(YEAR(A227),MONTH(A227),1))</f>
        <v/>
      </c>
    </row>
    <row r="228" customFormat="false" ht="14.25" hidden="false" customHeight="false" outlineLevel="0" collapsed="false">
      <c r="A228" s="20"/>
      <c r="B228" s="21"/>
      <c r="C228" s="21"/>
      <c r="D228" s="21"/>
      <c r="E228" s="21"/>
      <c r="F228" s="22" t="str">
        <f aca="false">IF(A228="","",SUM(B228:E228))</f>
        <v/>
      </c>
      <c r="G228" s="23" t="str">
        <f aca="false">IF(A228="","",B228*Premissas!$C$4+C228*Premissas!$C$7+D228*Premissas!$C$6+E228*Premissas!$C$5)</f>
        <v/>
      </c>
      <c r="H228" s="24" t="str">
        <f aca="false">IF(A228="","",DATE(YEAR(A228),MONTH(A228),1))</f>
        <v/>
      </c>
    </row>
    <row r="229" customFormat="false" ht="14.25" hidden="false" customHeight="false" outlineLevel="0" collapsed="false">
      <c r="A229" s="20"/>
      <c r="B229" s="21"/>
      <c r="C229" s="21"/>
      <c r="D229" s="21"/>
      <c r="E229" s="21"/>
      <c r="F229" s="22" t="str">
        <f aca="false">IF(A229="","",SUM(B229:E229))</f>
        <v/>
      </c>
      <c r="G229" s="23" t="str">
        <f aca="false">IF(A229="","",B229*Premissas!$C$4+C229*Premissas!$C$7+D229*Premissas!$C$6+E229*Premissas!$C$5)</f>
        <v/>
      </c>
      <c r="H229" s="24" t="str">
        <f aca="false">IF(A229="","",DATE(YEAR(A229),MONTH(A229),1))</f>
        <v/>
      </c>
    </row>
    <row r="230" customFormat="false" ht="14.25" hidden="false" customHeight="false" outlineLevel="0" collapsed="false">
      <c r="A230" s="20"/>
      <c r="B230" s="21"/>
      <c r="C230" s="21"/>
      <c r="D230" s="21"/>
      <c r="E230" s="21"/>
      <c r="F230" s="22" t="str">
        <f aca="false">IF(A230="","",SUM(B230:E230))</f>
        <v/>
      </c>
      <c r="G230" s="23" t="str">
        <f aca="false">IF(A230="","",B230*Premissas!$C$4+C230*Premissas!$C$7+D230*Premissas!$C$6+E230*Premissas!$C$5)</f>
        <v/>
      </c>
      <c r="H230" s="24" t="str">
        <f aca="false">IF(A230="","",DATE(YEAR(A230),MONTH(A230),1))</f>
        <v/>
      </c>
    </row>
    <row r="231" customFormat="false" ht="14.25" hidden="false" customHeight="false" outlineLevel="0" collapsed="false">
      <c r="A231" s="20"/>
      <c r="B231" s="21"/>
      <c r="C231" s="21"/>
      <c r="D231" s="21"/>
      <c r="E231" s="21"/>
      <c r="F231" s="22" t="str">
        <f aca="false">IF(A231="","",SUM(B231:E231))</f>
        <v/>
      </c>
      <c r="G231" s="23" t="str">
        <f aca="false">IF(A231="","",B231*Premissas!$C$4+C231*Premissas!$C$7+D231*Premissas!$C$6+E231*Premissas!$C$5)</f>
        <v/>
      </c>
      <c r="H231" s="24" t="str">
        <f aca="false">IF(A231="","",DATE(YEAR(A231),MONTH(A231),1))</f>
        <v/>
      </c>
    </row>
    <row r="232" customFormat="false" ht="14.25" hidden="false" customHeight="false" outlineLevel="0" collapsed="false">
      <c r="A232" s="20"/>
      <c r="B232" s="21"/>
      <c r="C232" s="21"/>
      <c r="D232" s="21"/>
      <c r="E232" s="21"/>
      <c r="F232" s="22" t="str">
        <f aca="false">IF(A232="","",SUM(B232:E232))</f>
        <v/>
      </c>
      <c r="G232" s="23" t="str">
        <f aca="false">IF(A232="","",B232*Premissas!$C$4+C232*Premissas!$C$7+D232*Premissas!$C$6+E232*Premissas!$C$5)</f>
        <v/>
      </c>
      <c r="H232" s="24" t="str">
        <f aca="false">IF(A232="","",DATE(YEAR(A232),MONTH(A232),1))</f>
        <v/>
      </c>
    </row>
    <row r="233" customFormat="false" ht="14.25" hidden="false" customHeight="false" outlineLevel="0" collapsed="false">
      <c r="A233" s="20"/>
      <c r="B233" s="21"/>
      <c r="C233" s="21"/>
      <c r="D233" s="21"/>
      <c r="E233" s="21"/>
      <c r="F233" s="22" t="str">
        <f aca="false">IF(A233="","",SUM(B233:E233))</f>
        <v/>
      </c>
      <c r="G233" s="23" t="str">
        <f aca="false">IF(A233="","",B233*Premissas!$C$4+C233*Premissas!$C$7+D233*Premissas!$C$6+E233*Premissas!$C$5)</f>
        <v/>
      </c>
      <c r="H233" s="24" t="str">
        <f aca="false">IF(A233="","",DATE(YEAR(A233),MONTH(A233),1))</f>
        <v/>
      </c>
    </row>
    <row r="234" customFormat="false" ht="14.25" hidden="false" customHeight="false" outlineLevel="0" collapsed="false">
      <c r="A234" s="20"/>
      <c r="B234" s="21"/>
      <c r="C234" s="21"/>
      <c r="D234" s="21"/>
      <c r="E234" s="21"/>
      <c r="F234" s="22" t="str">
        <f aca="false">IF(A234="","",SUM(B234:E234))</f>
        <v/>
      </c>
      <c r="G234" s="23" t="str">
        <f aca="false">IF(A234="","",B234*Premissas!$C$4+C234*Premissas!$C$7+D234*Premissas!$C$6+E234*Premissas!$C$5)</f>
        <v/>
      </c>
      <c r="H234" s="24" t="str">
        <f aca="false">IF(A234="","",DATE(YEAR(A234),MONTH(A234),1))</f>
        <v/>
      </c>
    </row>
    <row r="235" customFormat="false" ht="14.25" hidden="false" customHeight="false" outlineLevel="0" collapsed="false">
      <c r="A235" s="20"/>
      <c r="B235" s="21"/>
      <c r="C235" s="21"/>
      <c r="D235" s="21"/>
      <c r="E235" s="21"/>
      <c r="F235" s="22" t="str">
        <f aca="false">IF(A235="","",SUM(B235:E235))</f>
        <v/>
      </c>
      <c r="G235" s="23" t="str">
        <f aca="false">IF(A235="","",B235*Premissas!$C$4+C235*Premissas!$C$7+D235*Premissas!$C$6+E235*Premissas!$C$5)</f>
        <v/>
      </c>
      <c r="H235" s="24" t="str">
        <f aca="false">IF(A235="","",DATE(YEAR(A235),MONTH(A235),1))</f>
        <v/>
      </c>
    </row>
    <row r="236" customFormat="false" ht="14.25" hidden="false" customHeight="false" outlineLevel="0" collapsed="false">
      <c r="A236" s="20"/>
      <c r="B236" s="21"/>
      <c r="C236" s="21"/>
      <c r="D236" s="21"/>
      <c r="E236" s="21"/>
      <c r="F236" s="22" t="str">
        <f aca="false">IF(A236="","",SUM(B236:E236))</f>
        <v/>
      </c>
      <c r="G236" s="23" t="str">
        <f aca="false">IF(A236="","",B236*Premissas!$C$4+C236*Premissas!$C$7+D236*Premissas!$C$6+E236*Premissas!$C$5)</f>
        <v/>
      </c>
      <c r="H236" s="24" t="str">
        <f aca="false">IF(A236="","",DATE(YEAR(A236),MONTH(A236),1))</f>
        <v/>
      </c>
    </row>
    <row r="237" customFormat="false" ht="14.25" hidden="false" customHeight="false" outlineLevel="0" collapsed="false">
      <c r="A237" s="20"/>
      <c r="B237" s="21"/>
      <c r="C237" s="21"/>
      <c r="D237" s="21"/>
      <c r="E237" s="21"/>
      <c r="F237" s="22" t="str">
        <f aca="false">IF(A237="","",SUM(B237:E237))</f>
        <v/>
      </c>
      <c r="G237" s="23" t="str">
        <f aca="false">IF(A237="","",B237*Premissas!$C$4+C237*Premissas!$C$7+D237*Premissas!$C$6+E237*Premissas!$C$5)</f>
        <v/>
      </c>
      <c r="H237" s="24" t="str">
        <f aca="false">IF(A237="","",DATE(YEAR(A237),MONTH(A237),1))</f>
        <v/>
      </c>
    </row>
    <row r="238" customFormat="false" ht="14.25" hidden="false" customHeight="false" outlineLevel="0" collapsed="false">
      <c r="A238" s="20"/>
      <c r="B238" s="21"/>
      <c r="C238" s="21"/>
      <c r="D238" s="21"/>
      <c r="E238" s="21"/>
      <c r="F238" s="22" t="str">
        <f aca="false">IF(A238="","",SUM(B238:E238))</f>
        <v/>
      </c>
      <c r="G238" s="23" t="str">
        <f aca="false">IF(A238="","",B238*Premissas!$C$4+C238*Premissas!$C$7+D238*Premissas!$C$6+E238*Premissas!$C$5)</f>
        <v/>
      </c>
      <c r="H238" s="24" t="str">
        <f aca="false">IF(A238="","",DATE(YEAR(A238),MONTH(A238),1))</f>
        <v/>
      </c>
    </row>
    <row r="239" customFormat="false" ht="14.25" hidden="false" customHeight="false" outlineLevel="0" collapsed="false">
      <c r="A239" s="20"/>
      <c r="B239" s="21"/>
      <c r="C239" s="21"/>
      <c r="D239" s="21"/>
      <c r="E239" s="21"/>
      <c r="F239" s="22" t="str">
        <f aca="false">IF(A239="","",SUM(B239:E239))</f>
        <v/>
      </c>
      <c r="G239" s="23" t="str">
        <f aca="false">IF(A239="","",B239*Premissas!$C$4+C239*Premissas!$C$7+D239*Premissas!$C$6+E239*Premissas!$C$5)</f>
        <v/>
      </c>
      <c r="H239" s="24" t="str">
        <f aca="false">IF(A239="","",DATE(YEAR(A239),MONTH(A239),1))</f>
        <v/>
      </c>
    </row>
    <row r="240" customFormat="false" ht="14.25" hidden="false" customHeight="false" outlineLevel="0" collapsed="false">
      <c r="A240" s="20"/>
      <c r="B240" s="21"/>
      <c r="C240" s="21"/>
      <c r="D240" s="21"/>
      <c r="E240" s="21"/>
      <c r="F240" s="22" t="str">
        <f aca="false">IF(A240="","",SUM(B240:E240))</f>
        <v/>
      </c>
      <c r="G240" s="23" t="str">
        <f aca="false">IF(A240="","",B240*Premissas!$C$4+C240*Premissas!$C$7+D240*Premissas!$C$6+E240*Premissas!$C$5)</f>
        <v/>
      </c>
      <c r="H240" s="24" t="str">
        <f aca="false">IF(A240="","",DATE(YEAR(A240),MONTH(A240),1))</f>
        <v/>
      </c>
    </row>
    <row r="241" customFormat="false" ht="14.25" hidden="false" customHeight="false" outlineLevel="0" collapsed="false">
      <c r="A241" s="20"/>
      <c r="B241" s="21"/>
      <c r="C241" s="21"/>
      <c r="D241" s="21"/>
      <c r="E241" s="21"/>
      <c r="F241" s="22" t="str">
        <f aca="false">IF(A241="","",SUM(B241:E241))</f>
        <v/>
      </c>
      <c r="G241" s="23" t="str">
        <f aca="false">IF(A241="","",B241*Premissas!$C$4+C241*Premissas!$C$7+D241*Premissas!$C$6+E241*Premissas!$C$5)</f>
        <v/>
      </c>
      <c r="H241" s="24" t="str">
        <f aca="false">IF(A241="","",DATE(YEAR(A241),MONTH(A241),1))</f>
        <v/>
      </c>
    </row>
    <row r="242" customFormat="false" ht="14.25" hidden="false" customHeight="false" outlineLevel="0" collapsed="false">
      <c r="A242" s="20"/>
      <c r="B242" s="21"/>
      <c r="C242" s="21"/>
      <c r="D242" s="21"/>
      <c r="E242" s="21"/>
      <c r="F242" s="22" t="str">
        <f aca="false">IF(A242="","",SUM(B242:E242))</f>
        <v/>
      </c>
      <c r="G242" s="23" t="str">
        <f aca="false">IF(A242="","",B242*Premissas!$C$4+C242*Premissas!$C$7+D242*Premissas!$C$6+E242*Premissas!$C$5)</f>
        <v/>
      </c>
      <c r="H242" s="24" t="str">
        <f aca="false">IF(A242="","",DATE(YEAR(A242),MONTH(A242),1))</f>
        <v/>
      </c>
    </row>
    <row r="243" customFormat="false" ht="14.25" hidden="false" customHeight="false" outlineLevel="0" collapsed="false">
      <c r="A243" s="20"/>
      <c r="B243" s="21"/>
      <c r="C243" s="21"/>
      <c r="D243" s="21"/>
      <c r="E243" s="21"/>
      <c r="F243" s="22" t="str">
        <f aca="false">IF(A243="","",SUM(B243:E243))</f>
        <v/>
      </c>
      <c r="G243" s="23" t="str">
        <f aca="false">IF(A243="","",B243*Premissas!$C$4+C243*Premissas!$C$7+D243*Premissas!$C$6+E243*Premissas!$C$5)</f>
        <v/>
      </c>
      <c r="H243" s="24" t="str">
        <f aca="false">IF(A243="","",DATE(YEAR(A243),MONTH(A243),1))</f>
        <v/>
      </c>
    </row>
    <row r="244" customFormat="false" ht="14.25" hidden="false" customHeight="false" outlineLevel="0" collapsed="false">
      <c r="A244" s="20"/>
      <c r="B244" s="21"/>
      <c r="C244" s="21"/>
      <c r="D244" s="21"/>
      <c r="E244" s="21"/>
      <c r="F244" s="22" t="str">
        <f aca="false">IF(A244="","",SUM(B244:E244))</f>
        <v/>
      </c>
      <c r="G244" s="23" t="str">
        <f aca="false">IF(A244="","",B244*Premissas!$C$4+C244*Premissas!$C$7+D244*Premissas!$C$6+E244*Premissas!$C$5)</f>
        <v/>
      </c>
      <c r="H244" s="24" t="str">
        <f aca="false">IF(A244="","",DATE(YEAR(A244),MONTH(A244),1))</f>
        <v/>
      </c>
    </row>
    <row r="245" customFormat="false" ht="14.25" hidden="false" customHeight="false" outlineLevel="0" collapsed="false">
      <c r="A245" s="20"/>
      <c r="B245" s="21"/>
      <c r="C245" s="21"/>
      <c r="D245" s="21"/>
      <c r="E245" s="21"/>
      <c r="F245" s="22" t="str">
        <f aca="false">IF(A245="","",SUM(B245:E245))</f>
        <v/>
      </c>
      <c r="G245" s="23" t="str">
        <f aca="false">IF(A245="","",B245*Premissas!$C$4+C245*Premissas!$C$7+D245*Premissas!$C$6+E245*Premissas!$C$5)</f>
        <v/>
      </c>
      <c r="H245" s="24" t="str">
        <f aca="false">IF(A245="","",DATE(YEAR(A245),MONTH(A245),1))</f>
        <v/>
      </c>
    </row>
    <row r="246" customFormat="false" ht="14.25" hidden="false" customHeight="false" outlineLevel="0" collapsed="false">
      <c r="A246" s="20"/>
      <c r="B246" s="21"/>
      <c r="C246" s="21"/>
      <c r="D246" s="21"/>
      <c r="E246" s="21"/>
      <c r="F246" s="22" t="str">
        <f aca="false">IF(A246="","",SUM(B246:E246))</f>
        <v/>
      </c>
      <c r="G246" s="23" t="str">
        <f aca="false">IF(A246="","",B246*Premissas!$C$4+C246*Premissas!$C$7+D246*Premissas!$C$6+E246*Premissas!$C$5)</f>
        <v/>
      </c>
      <c r="H246" s="24" t="str">
        <f aca="false">IF(A246="","",DATE(YEAR(A246),MONTH(A246),1))</f>
        <v/>
      </c>
    </row>
    <row r="247" customFormat="false" ht="14.25" hidden="false" customHeight="false" outlineLevel="0" collapsed="false">
      <c r="A247" s="20"/>
      <c r="B247" s="21"/>
      <c r="C247" s="21"/>
      <c r="D247" s="21"/>
      <c r="E247" s="21"/>
      <c r="F247" s="22" t="str">
        <f aca="false">IF(A247="","",SUM(B247:E247))</f>
        <v/>
      </c>
      <c r="G247" s="23" t="str">
        <f aca="false">IF(A247="","",B247*Premissas!$C$4+C247*Premissas!$C$7+D247*Premissas!$C$6+E247*Premissas!$C$5)</f>
        <v/>
      </c>
      <c r="H247" s="24" t="str">
        <f aca="false">IF(A247="","",DATE(YEAR(A247),MONTH(A247),1))</f>
        <v/>
      </c>
    </row>
    <row r="248" customFormat="false" ht="14.25" hidden="false" customHeight="false" outlineLevel="0" collapsed="false">
      <c r="A248" s="20"/>
      <c r="B248" s="21"/>
      <c r="C248" s="21"/>
      <c r="D248" s="21"/>
      <c r="E248" s="21"/>
      <c r="F248" s="22" t="str">
        <f aca="false">IF(A248="","",SUM(B248:E248))</f>
        <v/>
      </c>
      <c r="G248" s="23" t="str">
        <f aca="false">IF(A248="","",B248*Premissas!$C$4+C248*Premissas!$C$7+D248*Premissas!$C$6+E248*Premissas!$C$5)</f>
        <v/>
      </c>
      <c r="H248" s="24" t="str">
        <f aca="false">IF(A248="","",DATE(YEAR(A248),MONTH(A248),1))</f>
        <v/>
      </c>
    </row>
    <row r="249" customFormat="false" ht="14.25" hidden="false" customHeight="false" outlineLevel="0" collapsed="false">
      <c r="A249" s="20"/>
      <c r="B249" s="21"/>
      <c r="C249" s="21"/>
      <c r="D249" s="21"/>
      <c r="E249" s="21"/>
      <c r="F249" s="22" t="str">
        <f aca="false">IF(A249="","",SUM(B249:E249))</f>
        <v/>
      </c>
      <c r="G249" s="23" t="str">
        <f aca="false">IF(A249="","",B249*Premissas!$C$4+C249*Premissas!$C$7+D249*Premissas!$C$6+E249*Premissas!$C$5)</f>
        <v/>
      </c>
      <c r="H249" s="24" t="str">
        <f aca="false">IF(A249="","",DATE(YEAR(A249),MONTH(A249),1))</f>
        <v/>
      </c>
    </row>
    <row r="250" customFormat="false" ht="14.25" hidden="false" customHeight="false" outlineLevel="0" collapsed="false">
      <c r="A250" s="20"/>
      <c r="B250" s="21"/>
      <c r="C250" s="21"/>
      <c r="D250" s="21"/>
      <c r="E250" s="21"/>
      <c r="F250" s="22" t="str">
        <f aca="false">IF(A250="","",SUM(B250:E250))</f>
        <v/>
      </c>
      <c r="G250" s="23" t="str">
        <f aca="false">IF(A250="","",B250*Premissas!$C$4+C250*Premissas!$C$7+D250*Premissas!$C$6+E250*Premissas!$C$5)</f>
        <v/>
      </c>
      <c r="H250" s="24" t="str">
        <f aca="false">IF(A250="","",DATE(YEAR(A250),MONTH(A250),1))</f>
        <v/>
      </c>
    </row>
    <row r="251" customFormat="false" ht="14.25" hidden="false" customHeight="false" outlineLevel="0" collapsed="false">
      <c r="A251" s="20"/>
      <c r="B251" s="21"/>
      <c r="C251" s="21"/>
      <c r="D251" s="21"/>
      <c r="E251" s="21"/>
      <c r="F251" s="22" t="str">
        <f aca="false">IF(A251="","",SUM(B251:E251))</f>
        <v/>
      </c>
      <c r="G251" s="23" t="str">
        <f aca="false">IF(A251="","",B251*Premissas!$C$4+C251*Premissas!$C$7+D251*Premissas!$C$6+E251*Premissas!$C$5)</f>
        <v/>
      </c>
      <c r="H251" s="24" t="str">
        <f aca="false">IF(A251="","",DATE(YEAR(A251),MONTH(A251),1))</f>
        <v/>
      </c>
    </row>
    <row r="252" customFormat="false" ht="14.25" hidden="false" customHeight="false" outlineLevel="0" collapsed="false">
      <c r="A252" s="20"/>
      <c r="B252" s="21"/>
      <c r="C252" s="21"/>
      <c r="D252" s="21"/>
      <c r="E252" s="21"/>
      <c r="F252" s="22" t="str">
        <f aca="false">IF(A252="","",SUM(B252:E252))</f>
        <v/>
      </c>
      <c r="G252" s="23" t="str">
        <f aca="false">IF(A252="","",B252*Premissas!$C$4+C252*Premissas!$C$7+D252*Premissas!$C$6+E252*Premissas!$C$5)</f>
        <v/>
      </c>
      <c r="H252" s="24" t="str">
        <f aca="false">IF(A252="","",DATE(YEAR(A252),MONTH(A252),1))</f>
        <v/>
      </c>
    </row>
    <row r="253" customFormat="false" ht="14.25" hidden="false" customHeight="false" outlineLevel="0" collapsed="false">
      <c r="A253" s="20"/>
      <c r="B253" s="21"/>
      <c r="C253" s="21"/>
      <c r="D253" s="21"/>
      <c r="E253" s="21"/>
      <c r="F253" s="22" t="str">
        <f aca="false">IF(A253="","",SUM(B253:E253))</f>
        <v/>
      </c>
      <c r="G253" s="23" t="str">
        <f aca="false">IF(A253="","",B253*Premissas!$C$4+C253*Premissas!$C$7+D253*Premissas!$C$6+E253*Premissas!$C$5)</f>
        <v/>
      </c>
      <c r="H253" s="24" t="str">
        <f aca="false">IF(A253="","",DATE(YEAR(A253),MONTH(A253),1))</f>
        <v/>
      </c>
    </row>
    <row r="254" customFormat="false" ht="14.25" hidden="false" customHeight="false" outlineLevel="0" collapsed="false">
      <c r="A254" s="20"/>
      <c r="B254" s="21"/>
      <c r="C254" s="21"/>
      <c r="D254" s="21"/>
      <c r="E254" s="21"/>
      <c r="F254" s="22" t="str">
        <f aca="false">IF(A254="","",SUM(B254:E254))</f>
        <v/>
      </c>
      <c r="G254" s="23" t="str">
        <f aca="false">IF(A254="","",B254*Premissas!$C$4+C254*Premissas!$C$7+D254*Premissas!$C$6+E254*Premissas!$C$5)</f>
        <v/>
      </c>
      <c r="H254" s="24" t="str">
        <f aca="false">IF(A254="","",DATE(YEAR(A254),MONTH(A254),1))</f>
        <v/>
      </c>
    </row>
    <row r="255" customFormat="false" ht="14.25" hidden="false" customHeight="false" outlineLevel="0" collapsed="false">
      <c r="A255" s="20"/>
      <c r="B255" s="21"/>
      <c r="C255" s="21"/>
      <c r="D255" s="21"/>
      <c r="E255" s="21"/>
      <c r="F255" s="22" t="str">
        <f aca="false">IF(A255="","",SUM(B255:E255))</f>
        <v/>
      </c>
      <c r="G255" s="23" t="str">
        <f aca="false">IF(A255="","",B255*Premissas!$C$4+C255*Premissas!$C$7+D255*Premissas!$C$6+E255*Premissas!$C$5)</f>
        <v/>
      </c>
      <c r="H255" s="24" t="str">
        <f aca="false">IF(A255="","",DATE(YEAR(A255),MONTH(A255),1))</f>
        <v/>
      </c>
    </row>
    <row r="256" customFormat="false" ht="14.25" hidden="false" customHeight="false" outlineLevel="0" collapsed="false">
      <c r="A256" s="20"/>
      <c r="B256" s="21"/>
      <c r="C256" s="21"/>
      <c r="D256" s="21"/>
      <c r="E256" s="21"/>
      <c r="F256" s="22" t="str">
        <f aca="false">IF(A256="","",SUM(B256:E256))</f>
        <v/>
      </c>
      <c r="G256" s="23" t="str">
        <f aca="false">IF(A256="","",B256*Premissas!$C$4+C256*Premissas!$C$7+D256*Premissas!$C$6+E256*Premissas!$C$5)</f>
        <v/>
      </c>
      <c r="H256" s="24" t="str">
        <f aca="false">IF(A256="","",DATE(YEAR(A256),MONTH(A256),1))</f>
        <v/>
      </c>
    </row>
    <row r="257" customFormat="false" ht="14.25" hidden="false" customHeight="false" outlineLevel="0" collapsed="false">
      <c r="A257" s="20"/>
      <c r="B257" s="21"/>
      <c r="C257" s="21"/>
      <c r="D257" s="21"/>
      <c r="E257" s="21"/>
      <c r="F257" s="22" t="str">
        <f aca="false">IF(A257="","",SUM(B257:E257))</f>
        <v/>
      </c>
      <c r="G257" s="23" t="str">
        <f aca="false">IF(A257="","",B257*Premissas!$C$4+C257*Premissas!$C$7+D257*Premissas!$C$6+E257*Premissas!$C$5)</f>
        <v/>
      </c>
      <c r="H257" s="24" t="str">
        <f aca="false">IF(A257="","",DATE(YEAR(A257),MONTH(A257),1))</f>
        <v/>
      </c>
    </row>
    <row r="258" customFormat="false" ht="14.25" hidden="false" customHeight="false" outlineLevel="0" collapsed="false">
      <c r="A258" s="20"/>
      <c r="B258" s="21"/>
      <c r="C258" s="21"/>
      <c r="D258" s="21"/>
      <c r="E258" s="21"/>
      <c r="F258" s="22" t="str">
        <f aca="false">IF(A258="","",SUM(B258:E258))</f>
        <v/>
      </c>
      <c r="G258" s="23" t="str">
        <f aca="false">IF(A258="","",B258*Premissas!$C$4+C258*Premissas!$C$7+D258*Premissas!$C$6+E258*Premissas!$C$5)</f>
        <v/>
      </c>
      <c r="H258" s="24" t="str">
        <f aca="false">IF(A258="","",DATE(YEAR(A258),MONTH(A258),1))</f>
        <v/>
      </c>
    </row>
    <row r="259" customFormat="false" ht="14.25" hidden="false" customHeight="false" outlineLevel="0" collapsed="false">
      <c r="A259" s="20"/>
      <c r="B259" s="21"/>
      <c r="C259" s="21"/>
      <c r="D259" s="21"/>
      <c r="E259" s="21"/>
      <c r="F259" s="22" t="str">
        <f aca="false">IF(A259="","",SUM(B259:E259))</f>
        <v/>
      </c>
      <c r="G259" s="23" t="str">
        <f aca="false">IF(A259="","",B259*Premissas!$C$4+C259*Premissas!$C$7+D259*Premissas!$C$6+E259*Premissas!$C$5)</f>
        <v/>
      </c>
      <c r="H259" s="24" t="str">
        <f aca="false">IF(A259="","",DATE(YEAR(A259),MONTH(A259),1))</f>
        <v/>
      </c>
    </row>
    <row r="260" customFormat="false" ht="14.25" hidden="false" customHeight="false" outlineLevel="0" collapsed="false">
      <c r="A260" s="20"/>
      <c r="B260" s="21"/>
      <c r="C260" s="21"/>
      <c r="D260" s="21"/>
      <c r="E260" s="21"/>
      <c r="F260" s="22" t="str">
        <f aca="false">IF(A260="","",SUM(B260:E260))</f>
        <v/>
      </c>
      <c r="G260" s="23" t="str">
        <f aca="false">IF(A260="","",B260*Premissas!$C$4+C260*Premissas!$C$7+D260*Premissas!$C$6+E260*Premissas!$C$5)</f>
        <v/>
      </c>
      <c r="H260" s="24" t="str">
        <f aca="false">IF(A260="","",DATE(YEAR(A260),MONTH(A260),1))</f>
        <v/>
      </c>
    </row>
    <row r="261" customFormat="false" ht="14.25" hidden="false" customHeight="false" outlineLevel="0" collapsed="false">
      <c r="A261" s="20"/>
      <c r="B261" s="21"/>
      <c r="C261" s="21"/>
      <c r="D261" s="21"/>
      <c r="E261" s="21"/>
      <c r="F261" s="22" t="str">
        <f aca="false">IF(A261="","",SUM(B261:E261))</f>
        <v/>
      </c>
      <c r="G261" s="23" t="str">
        <f aca="false">IF(A261="","",B261*Premissas!$C$4+C261*Premissas!$C$7+D261*Premissas!$C$6+E261*Premissas!$C$5)</f>
        <v/>
      </c>
      <c r="H261" s="24" t="str">
        <f aca="false">IF(A261="","",DATE(YEAR(A261),MONTH(A261),1))</f>
        <v/>
      </c>
    </row>
    <row r="262" customFormat="false" ht="14.25" hidden="false" customHeight="false" outlineLevel="0" collapsed="false">
      <c r="A262" s="20"/>
      <c r="B262" s="21"/>
      <c r="C262" s="21"/>
      <c r="D262" s="21"/>
      <c r="E262" s="21"/>
      <c r="F262" s="22" t="str">
        <f aca="false">IF(A262="","",SUM(B262:E262))</f>
        <v/>
      </c>
      <c r="G262" s="23" t="str">
        <f aca="false">IF(A262="","",B262*Premissas!$C$4+C262*Premissas!$C$7+D262*Premissas!$C$6+E262*Premissas!$C$5)</f>
        <v/>
      </c>
      <c r="H262" s="24" t="str">
        <f aca="false">IF(A262="","",DATE(YEAR(A262),MONTH(A262),1))</f>
        <v/>
      </c>
    </row>
    <row r="263" customFormat="false" ht="14.25" hidden="false" customHeight="false" outlineLevel="0" collapsed="false">
      <c r="A263" s="20"/>
      <c r="B263" s="21"/>
      <c r="C263" s="21"/>
      <c r="D263" s="21"/>
      <c r="E263" s="21"/>
      <c r="F263" s="22" t="str">
        <f aca="false">IF(A263="","",SUM(B263:E263))</f>
        <v/>
      </c>
      <c r="G263" s="23" t="str">
        <f aca="false">IF(A263="","",B263*Premissas!$C$4+C263*Premissas!$C$7+D263*Premissas!$C$6+E263*Premissas!$C$5)</f>
        <v/>
      </c>
      <c r="H263" s="24" t="str">
        <f aca="false">IF(A263="","",DATE(YEAR(A263),MONTH(A263),1))</f>
        <v/>
      </c>
    </row>
    <row r="264" customFormat="false" ht="14.25" hidden="false" customHeight="false" outlineLevel="0" collapsed="false">
      <c r="A264" s="20"/>
      <c r="B264" s="21"/>
      <c r="C264" s="21"/>
      <c r="D264" s="21"/>
      <c r="E264" s="21"/>
      <c r="F264" s="22" t="str">
        <f aca="false">IF(A264="","",SUM(B264:E264))</f>
        <v/>
      </c>
      <c r="G264" s="23" t="str">
        <f aca="false">IF(A264="","",B264*Premissas!$C$4+C264*Premissas!$C$7+D264*Premissas!$C$6+E264*Premissas!$C$5)</f>
        <v/>
      </c>
      <c r="H264" s="24" t="str">
        <f aca="false">IF(A264="","",DATE(YEAR(A264),MONTH(A264),1))</f>
        <v/>
      </c>
    </row>
    <row r="265" customFormat="false" ht="14.25" hidden="false" customHeight="false" outlineLevel="0" collapsed="false">
      <c r="A265" s="20"/>
      <c r="B265" s="21"/>
      <c r="C265" s="21"/>
      <c r="D265" s="21"/>
      <c r="E265" s="21"/>
      <c r="F265" s="22" t="str">
        <f aca="false">IF(A265="","",SUM(B265:E265))</f>
        <v/>
      </c>
      <c r="G265" s="23" t="str">
        <f aca="false">IF(A265="","",B265*Premissas!$C$4+C265*Premissas!$C$7+D265*Premissas!$C$6+E265*Premissas!$C$5)</f>
        <v/>
      </c>
      <c r="H265" s="24" t="str">
        <f aca="false">IF(A265="","",DATE(YEAR(A265),MONTH(A265),1))</f>
        <v/>
      </c>
    </row>
    <row r="266" customFormat="false" ht="14.25" hidden="false" customHeight="false" outlineLevel="0" collapsed="false">
      <c r="A266" s="20"/>
      <c r="B266" s="21"/>
      <c r="C266" s="21"/>
      <c r="D266" s="21"/>
      <c r="E266" s="21"/>
      <c r="F266" s="22" t="str">
        <f aca="false">IF(A266="","",SUM(B266:E266))</f>
        <v/>
      </c>
      <c r="G266" s="23" t="str">
        <f aca="false">IF(A266="","",B266*Premissas!$C$4+C266*Premissas!$C$7+D266*Premissas!$C$6+E266*Premissas!$C$5)</f>
        <v/>
      </c>
      <c r="H266" s="24" t="str">
        <f aca="false">IF(A266="","",DATE(YEAR(A266),MONTH(A266),1))</f>
        <v/>
      </c>
    </row>
    <row r="267" customFormat="false" ht="14.25" hidden="false" customHeight="false" outlineLevel="0" collapsed="false">
      <c r="A267" s="20"/>
      <c r="B267" s="21"/>
      <c r="C267" s="21"/>
      <c r="D267" s="21"/>
      <c r="E267" s="21"/>
      <c r="F267" s="22" t="str">
        <f aca="false">IF(A267="","",SUM(B267:E267))</f>
        <v/>
      </c>
      <c r="G267" s="23" t="str">
        <f aca="false">IF(A267="","",B267*Premissas!$C$4+C267*Premissas!$C$7+D267*Premissas!$C$6+E267*Premissas!$C$5)</f>
        <v/>
      </c>
      <c r="H267" s="24" t="str">
        <f aca="false">IF(A267="","",DATE(YEAR(A267),MONTH(A267),1))</f>
        <v/>
      </c>
    </row>
    <row r="268" customFormat="false" ht="14.25" hidden="false" customHeight="false" outlineLevel="0" collapsed="false">
      <c r="A268" s="20"/>
      <c r="B268" s="21"/>
      <c r="C268" s="21"/>
      <c r="D268" s="21"/>
      <c r="E268" s="21"/>
      <c r="F268" s="22" t="str">
        <f aca="false">IF(A268="","",SUM(B268:E268))</f>
        <v/>
      </c>
      <c r="G268" s="23" t="str">
        <f aca="false">IF(A268="","",B268*Premissas!$C$4+C268*Premissas!$C$7+D268*Premissas!$C$6+E268*Premissas!$C$5)</f>
        <v/>
      </c>
      <c r="H268" s="24" t="str">
        <f aca="false">IF(A268="","",DATE(YEAR(A268),MONTH(A268),1))</f>
        <v/>
      </c>
    </row>
    <row r="269" customFormat="false" ht="14.25" hidden="false" customHeight="false" outlineLevel="0" collapsed="false">
      <c r="A269" s="20"/>
      <c r="B269" s="21"/>
      <c r="C269" s="21"/>
      <c r="D269" s="21"/>
      <c r="E269" s="21"/>
      <c r="F269" s="22" t="str">
        <f aca="false">IF(A269="","",SUM(B269:E269))</f>
        <v/>
      </c>
      <c r="G269" s="23" t="str">
        <f aca="false">IF(A269="","",B269*Premissas!$C$4+C269*Premissas!$C$7+D269*Premissas!$C$6+E269*Premissas!$C$5)</f>
        <v/>
      </c>
      <c r="H269" s="24" t="str">
        <f aca="false">IF(A269="","",DATE(YEAR(A269),MONTH(A269),1))</f>
        <v/>
      </c>
    </row>
    <row r="270" customFormat="false" ht="14.25" hidden="false" customHeight="false" outlineLevel="0" collapsed="false">
      <c r="A270" s="20"/>
      <c r="B270" s="21"/>
      <c r="C270" s="21"/>
      <c r="D270" s="21"/>
      <c r="E270" s="21"/>
      <c r="F270" s="22" t="str">
        <f aca="false">IF(A270="","",SUM(B270:E270))</f>
        <v/>
      </c>
      <c r="G270" s="23" t="str">
        <f aca="false">IF(A270="","",B270*Premissas!$C$4+C270*Premissas!$C$7+D270*Premissas!$C$6+E270*Premissas!$C$5)</f>
        <v/>
      </c>
      <c r="H270" s="24" t="str">
        <f aca="false">IF(A270="","",DATE(YEAR(A270),MONTH(A270),1))</f>
        <v/>
      </c>
    </row>
    <row r="271" customFormat="false" ht="14.25" hidden="false" customHeight="false" outlineLevel="0" collapsed="false">
      <c r="A271" s="20"/>
      <c r="B271" s="21"/>
      <c r="C271" s="21"/>
      <c r="D271" s="21"/>
      <c r="E271" s="21"/>
      <c r="F271" s="22" t="str">
        <f aca="false">IF(A271="","",SUM(B271:E271))</f>
        <v/>
      </c>
      <c r="G271" s="23" t="str">
        <f aca="false">IF(A271="","",B271*Premissas!$C$4+C271*Premissas!$C$7+D271*Premissas!$C$6+E271*Premissas!$C$5)</f>
        <v/>
      </c>
      <c r="H271" s="24" t="str">
        <f aca="false">IF(A271="","",DATE(YEAR(A271),MONTH(A271),1))</f>
        <v/>
      </c>
    </row>
    <row r="272" customFormat="false" ht="14.25" hidden="false" customHeight="false" outlineLevel="0" collapsed="false">
      <c r="A272" s="20"/>
      <c r="B272" s="21"/>
      <c r="C272" s="21"/>
      <c r="D272" s="21"/>
      <c r="E272" s="21"/>
      <c r="F272" s="22" t="str">
        <f aca="false">IF(A272="","",SUM(B272:E272))</f>
        <v/>
      </c>
      <c r="G272" s="23" t="str">
        <f aca="false">IF(A272="","",B272*Premissas!$C$4+C272*Premissas!$C$7+D272*Premissas!$C$6+E272*Premissas!$C$5)</f>
        <v/>
      </c>
      <c r="H272" s="24" t="str">
        <f aca="false">IF(A272="","",DATE(YEAR(A272),MONTH(A272),1))</f>
        <v/>
      </c>
    </row>
    <row r="273" customFormat="false" ht="14.25" hidden="false" customHeight="false" outlineLevel="0" collapsed="false">
      <c r="A273" s="20"/>
      <c r="B273" s="21"/>
      <c r="C273" s="21"/>
      <c r="D273" s="21"/>
      <c r="E273" s="21"/>
      <c r="F273" s="22" t="str">
        <f aca="false">IF(A273="","",SUM(B273:E273))</f>
        <v/>
      </c>
      <c r="G273" s="23" t="str">
        <f aca="false">IF(A273="","",B273*Premissas!$C$4+C273*Premissas!$C$7+D273*Premissas!$C$6+E273*Premissas!$C$5)</f>
        <v/>
      </c>
      <c r="H273" s="24" t="str">
        <f aca="false">IF(A273="","",DATE(YEAR(A273),MONTH(A273),1))</f>
        <v/>
      </c>
    </row>
    <row r="274" customFormat="false" ht="14.25" hidden="false" customHeight="false" outlineLevel="0" collapsed="false">
      <c r="A274" s="20"/>
      <c r="B274" s="21"/>
      <c r="C274" s="21"/>
      <c r="D274" s="21"/>
      <c r="E274" s="21"/>
      <c r="F274" s="22" t="str">
        <f aca="false">IF(A274="","",SUM(B274:E274))</f>
        <v/>
      </c>
      <c r="G274" s="23" t="str">
        <f aca="false">IF(A274="","",B274*Premissas!$C$4+C274*Premissas!$C$7+D274*Premissas!$C$6+E274*Premissas!$C$5)</f>
        <v/>
      </c>
      <c r="H274" s="24" t="str">
        <f aca="false">IF(A274="","",DATE(YEAR(A274),MONTH(A274),1))</f>
        <v/>
      </c>
    </row>
    <row r="275" customFormat="false" ht="14.25" hidden="false" customHeight="false" outlineLevel="0" collapsed="false">
      <c r="A275" s="20"/>
      <c r="B275" s="21"/>
      <c r="C275" s="21"/>
      <c r="D275" s="21"/>
      <c r="E275" s="21"/>
      <c r="F275" s="22" t="str">
        <f aca="false">IF(A275="","",SUM(B275:E275))</f>
        <v/>
      </c>
      <c r="G275" s="23" t="str">
        <f aca="false">IF(A275="","",B275*Premissas!$C$4+C275*Premissas!$C$7+D275*Premissas!$C$6+E275*Premissas!$C$5)</f>
        <v/>
      </c>
      <c r="H275" s="24" t="str">
        <f aca="false">IF(A275="","",DATE(YEAR(A275),MONTH(A275),1))</f>
        <v/>
      </c>
    </row>
    <row r="276" customFormat="false" ht="14.25" hidden="false" customHeight="false" outlineLevel="0" collapsed="false">
      <c r="A276" s="20"/>
      <c r="B276" s="21"/>
      <c r="C276" s="21"/>
      <c r="D276" s="21"/>
      <c r="E276" s="21"/>
      <c r="F276" s="22" t="str">
        <f aca="false">IF(A276="","",SUM(B276:E276))</f>
        <v/>
      </c>
      <c r="G276" s="23" t="str">
        <f aca="false">IF(A276="","",B276*Premissas!$C$4+C276*Premissas!$C$7+D276*Premissas!$C$6+E276*Premissas!$C$5)</f>
        <v/>
      </c>
      <c r="H276" s="24" t="str">
        <f aca="false">IF(A276="","",DATE(YEAR(A276),MONTH(A276),1))</f>
        <v/>
      </c>
    </row>
    <row r="277" customFormat="false" ht="14.25" hidden="false" customHeight="false" outlineLevel="0" collapsed="false">
      <c r="A277" s="20"/>
      <c r="B277" s="21"/>
      <c r="C277" s="21"/>
      <c r="D277" s="21"/>
      <c r="E277" s="21"/>
      <c r="F277" s="22" t="str">
        <f aca="false">IF(A277="","",SUM(B277:E277))</f>
        <v/>
      </c>
      <c r="G277" s="23" t="str">
        <f aca="false">IF(A277="","",B277*Premissas!$C$4+C277*Premissas!$C$7+D277*Premissas!$C$6+E277*Premissas!$C$5)</f>
        <v/>
      </c>
      <c r="H277" s="24" t="str">
        <f aca="false">IF(A277="","",DATE(YEAR(A277),MONTH(A277),1))</f>
        <v/>
      </c>
    </row>
    <row r="278" customFormat="false" ht="14.25" hidden="false" customHeight="false" outlineLevel="0" collapsed="false">
      <c r="A278" s="20"/>
      <c r="B278" s="21"/>
      <c r="C278" s="21"/>
      <c r="D278" s="21"/>
      <c r="E278" s="21"/>
      <c r="F278" s="22" t="str">
        <f aca="false">IF(A278="","",SUM(B278:E278))</f>
        <v/>
      </c>
      <c r="G278" s="23" t="str">
        <f aca="false">IF(A278="","",B278*Premissas!$C$4+C278*Premissas!$C$7+D278*Premissas!$C$6+E278*Premissas!$C$5)</f>
        <v/>
      </c>
      <c r="H278" s="24" t="str">
        <f aca="false">IF(A278="","",DATE(YEAR(A278),MONTH(A278),1))</f>
        <v/>
      </c>
    </row>
    <row r="279" customFormat="false" ht="14.25" hidden="false" customHeight="false" outlineLevel="0" collapsed="false">
      <c r="A279" s="20"/>
      <c r="B279" s="21"/>
      <c r="C279" s="21"/>
      <c r="D279" s="21"/>
      <c r="E279" s="21"/>
      <c r="F279" s="22" t="str">
        <f aca="false">IF(A279="","",SUM(B279:E279))</f>
        <v/>
      </c>
      <c r="G279" s="23" t="str">
        <f aca="false">IF(A279="","",B279*Premissas!$C$4+C279*Premissas!$C$7+D279*Premissas!$C$6+E279*Premissas!$C$5)</f>
        <v/>
      </c>
      <c r="H279" s="24" t="str">
        <f aca="false">IF(A279="","",DATE(YEAR(A279),MONTH(A279),1))</f>
        <v/>
      </c>
    </row>
    <row r="280" customFormat="false" ht="14.25" hidden="false" customHeight="false" outlineLevel="0" collapsed="false">
      <c r="A280" s="20"/>
      <c r="B280" s="21"/>
      <c r="C280" s="21"/>
      <c r="D280" s="21"/>
      <c r="E280" s="21"/>
      <c r="F280" s="22" t="str">
        <f aca="false">IF(A280="","",SUM(B280:E280))</f>
        <v/>
      </c>
      <c r="G280" s="23" t="str">
        <f aca="false">IF(A280="","",B280*Premissas!$C$4+C280*Premissas!$C$7+D280*Premissas!$C$6+E280*Premissas!$C$5)</f>
        <v/>
      </c>
      <c r="H280" s="24" t="str">
        <f aca="false">IF(A280="","",DATE(YEAR(A280),MONTH(A280),1))</f>
        <v/>
      </c>
    </row>
    <row r="281" customFormat="false" ht="14.25" hidden="false" customHeight="false" outlineLevel="0" collapsed="false">
      <c r="A281" s="20"/>
      <c r="B281" s="21"/>
      <c r="C281" s="21"/>
      <c r="D281" s="21"/>
      <c r="E281" s="21"/>
      <c r="F281" s="22" t="str">
        <f aca="false">IF(A281="","",SUM(B281:E281))</f>
        <v/>
      </c>
      <c r="G281" s="23" t="str">
        <f aca="false">IF(A281="","",B281*Premissas!$C$4+C281*Premissas!$C$7+D281*Premissas!$C$6+E281*Premissas!$C$5)</f>
        <v/>
      </c>
      <c r="H281" s="24" t="str">
        <f aca="false">IF(A281="","",DATE(YEAR(A281),MONTH(A281),1))</f>
        <v/>
      </c>
    </row>
    <row r="282" customFormat="false" ht="14.25" hidden="false" customHeight="false" outlineLevel="0" collapsed="false">
      <c r="A282" s="20"/>
      <c r="B282" s="21"/>
      <c r="C282" s="21"/>
      <c r="D282" s="21"/>
      <c r="E282" s="21"/>
      <c r="F282" s="22" t="str">
        <f aca="false">IF(A282="","",SUM(B282:E282))</f>
        <v/>
      </c>
      <c r="G282" s="23" t="str">
        <f aca="false">IF(A282="","",B282*Premissas!$C$4+C282*Premissas!$C$7+D282*Premissas!$C$6+E282*Premissas!$C$5)</f>
        <v/>
      </c>
      <c r="H282" s="24" t="str">
        <f aca="false">IF(A282="","",DATE(YEAR(A282),MONTH(A282),1))</f>
        <v/>
      </c>
    </row>
    <row r="283" customFormat="false" ht="14.25" hidden="false" customHeight="false" outlineLevel="0" collapsed="false">
      <c r="A283" s="20"/>
      <c r="B283" s="21"/>
      <c r="C283" s="21"/>
      <c r="D283" s="21"/>
      <c r="E283" s="21"/>
      <c r="F283" s="22" t="str">
        <f aca="false">IF(A283="","",SUM(B283:E283))</f>
        <v/>
      </c>
      <c r="G283" s="23" t="str">
        <f aca="false">IF(A283="","",B283*Premissas!$C$4+C283*Premissas!$C$7+D283*Premissas!$C$6+E283*Premissas!$C$5)</f>
        <v/>
      </c>
      <c r="H283" s="24" t="str">
        <f aca="false">IF(A283="","",DATE(YEAR(A283),MONTH(A283),1))</f>
        <v/>
      </c>
    </row>
    <row r="284" customFormat="false" ht="14.25" hidden="false" customHeight="false" outlineLevel="0" collapsed="false">
      <c r="A284" s="20"/>
      <c r="B284" s="21"/>
      <c r="C284" s="21"/>
      <c r="D284" s="21"/>
      <c r="E284" s="21"/>
      <c r="F284" s="22" t="str">
        <f aca="false">IF(A284="","",SUM(B284:E284))</f>
        <v/>
      </c>
      <c r="G284" s="23" t="str">
        <f aca="false">IF(A284="","",B284*Premissas!$C$4+C284*Premissas!$C$7+D284*Premissas!$C$6+E284*Premissas!$C$5)</f>
        <v/>
      </c>
      <c r="H284" s="24" t="str">
        <f aca="false">IF(A284="","",DATE(YEAR(A284),MONTH(A284),1))</f>
        <v/>
      </c>
    </row>
    <row r="285" customFormat="false" ht="14.25" hidden="false" customHeight="false" outlineLevel="0" collapsed="false">
      <c r="A285" s="20"/>
      <c r="B285" s="21"/>
      <c r="C285" s="21"/>
      <c r="D285" s="21"/>
      <c r="E285" s="21"/>
      <c r="F285" s="22" t="str">
        <f aca="false">IF(A285="","",SUM(B285:E285))</f>
        <v/>
      </c>
      <c r="G285" s="23" t="str">
        <f aca="false">IF(A285="","",B285*Premissas!$C$4+C285*Premissas!$C$7+D285*Premissas!$C$6+E285*Premissas!$C$5)</f>
        <v/>
      </c>
      <c r="H285" s="24" t="str">
        <f aca="false">IF(A285="","",DATE(YEAR(A285),MONTH(A285),1))</f>
        <v/>
      </c>
    </row>
    <row r="286" customFormat="false" ht="14.25" hidden="false" customHeight="false" outlineLevel="0" collapsed="false">
      <c r="A286" s="20"/>
      <c r="B286" s="21"/>
      <c r="C286" s="21"/>
      <c r="D286" s="21"/>
      <c r="E286" s="21"/>
      <c r="F286" s="22" t="str">
        <f aca="false">IF(A286="","",SUM(B286:E286))</f>
        <v/>
      </c>
      <c r="G286" s="23" t="str">
        <f aca="false">IF(A286="","",B286*Premissas!$C$4+C286*Premissas!$C$7+D286*Premissas!$C$6+E286*Premissas!$C$5)</f>
        <v/>
      </c>
      <c r="H286" s="24" t="str">
        <f aca="false">IF(A286="","",DATE(YEAR(A286),MONTH(A286),1))</f>
        <v/>
      </c>
    </row>
    <row r="287" customFormat="false" ht="14.25" hidden="false" customHeight="false" outlineLevel="0" collapsed="false">
      <c r="A287" s="20"/>
      <c r="B287" s="21"/>
      <c r="C287" s="21"/>
      <c r="D287" s="21"/>
      <c r="E287" s="21"/>
      <c r="F287" s="22" t="str">
        <f aca="false">IF(A287="","",SUM(B287:E287))</f>
        <v/>
      </c>
      <c r="G287" s="23" t="str">
        <f aca="false">IF(A287="","",B287*Premissas!$C$4+C287*Premissas!$C$7+D287*Premissas!$C$6+E287*Premissas!$C$5)</f>
        <v/>
      </c>
      <c r="H287" s="24" t="str">
        <f aca="false">IF(A287="","",DATE(YEAR(A287),MONTH(A287),1))</f>
        <v/>
      </c>
    </row>
    <row r="288" customFormat="false" ht="14.25" hidden="false" customHeight="false" outlineLevel="0" collapsed="false">
      <c r="A288" s="20"/>
      <c r="B288" s="21"/>
      <c r="C288" s="21"/>
      <c r="D288" s="21"/>
      <c r="E288" s="21"/>
      <c r="F288" s="22" t="str">
        <f aca="false">IF(A288="","",SUM(B288:E288))</f>
        <v/>
      </c>
      <c r="G288" s="23" t="str">
        <f aca="false">IF(A288="","",B288*Premissas!$C$4+C288*Premissas!$C$7+D288*Premissas!$C$6+E288*Premissas!$C$5)</f>
        <v/>
      </c>
      <c r="H288" s="24" t="str">
        <f aca="false">IF(A288="","",DATE(YEAR(A288),MONTH(A288),1))</f>
        <v/>
      </c>
    </row>
    <row r="289" customFormat="false" ht="14.25" hidden="false" customHeight="false" outlineLevel="0" collapsed="false">
      <c r="A289" s="20"/>
      <c r="B289" s="21"/>
      <c r="C289" s="21"/>
      <c r="D289" s="21"/>
      <c r="E289" s="21"/>
      <c r="F289" s="22" t="str">
        <f aca="false">IF(A289="","",SUM(B289:E289))</f>
        <v/>
      </c>
      <c r="G289" s="23" t="str">
        <f aca="false">IF(A289="","",B289*Premissas!$C$4+C289*Premissas!$C$7+D289*Premissas!$C$6+E289*Premissas!$C$5)</f>
        <v/>
      </c>
      <c r="H289" s="24" t="str">
        <f aca="false">IF(A289="","",DATE(YEAR(A289),MONTH(A289),1))</f>
        <v/>
      </c>
    </row>
    <row r="290" customFormat="false" ht="14.25" hidden="false" customHeight="false" outlineLevel="0" collapsed="false">
      <c r="A290" s="20"/>
      <c r="B290" s="21"/>
      <c r="C290" s="21"/>
      <c r="D290" s="21"/>
      <c r="E290" s="21"/>
      <c r="F290" s="22" t="str">
        <f aca="false">IF(A290="","",SUM(B290:E290))</f>
        <v/>
      </c>
      <c r="G290" s="23" t="str">
        <f aca="false">IF(A290="","",B290*Premissas!$C$4+C290*Premissas!$C$7+D290*Premissas!$C$6+E290*Premissas!$C$5)</f>
        <v/>
      </c>
      <c r="H290" s="24" t="str">
        <f aca="false">IF(A290="","",DATE(YEAR(A290),MONTH(A290),1))</f>
        <v/>
      </c>
    </row>
    <row r="291" customFormat="false" ht="14.25" hidden="false" customHeight="false" outlineLevel="0" collapsed="false">
      <c r="A291" s="20"/>
      <c r="B291" s="21"/>
      <c r="C291" s="21"/>
      <c r="D291" s="21"/>
      <c r="E291" s="21"/>
      <c r="F291" s="22" t="str">
        <f aca="false">IF(A291="","",SUM(B291:E291))</f>
        <v/>
      </c>
      <c r="G291" s="23" t="str">
        <f aca="false">IF(A291="","",B291*Premissas!$C$4+C291*Premissas!$C$7+D291*Premissas!$C$6+E291*Premissas!$C$5)</f>
        <v/>
      </c>
      <c r="H291" s="24" t="str">
        <f aca="false">IF(A291="","",DATE(YEAR(A291),MONTH(A291),1))</f>
        <v/>
      </c>
    </row>
    <row r="292" customFormat="false" ht="14.25" hidden="false" customHeight="false" outlineLevel="0" collapsed="false">
      <c r="A292" s="20"/>
      <c r="B292" s="21"/>
      <c r="C292" s="21"/>
      <c r="D292" s="21"/>
      <c r="E292" s="21"/>
      <c r="F292" s="22" t="str">
        <f aca="false">IF(A292="","",SUM(B292:E292))</f>
        <v/>
      </c>
      <c r="G292" s="23" t="str">
        <f aca="false">IF(A292="","",B292*Premissas!$C$4+C292*Premissas!$C$7+D292*Premissas!$C$6+E292*Premissas!$C$5)</f>
        <v/>
      </c>
      <c r="H292" s="24" t="str">
        <f aca="false">IF(A292="","",DATE(YEAR(A292),MONTH(A292),1))</f>
        <v/>
      </c>
    </row>
    <row r="293" customFormat="false" ht="14.25" hidden="false" customHeight="false" outlineLevel="0" collapsed="false">
      <c r="A293" s="20"/>
      <c r="B293" s="21"/>
      <c r="C293" s="21"/>
      <c r="D293" s="21"/>
      <c r="E293" s="21"/>
      <c r="F293" s="22" t="str">
        <f aca="false">IF(A293="","",SUM(B293:E293))</f>
        <v/>
      </c>
      <c r="G293" s="23" t="str">
        <f aca="false">IF(A293="","",B293*Premissas!$C$4+C293*Premissas!$C$7+D293*Premissas!$C$6+E293*Premissas!$C$5)</f>
        <v/>
      </c>
      <c r="H293" s="24" t="str">
        <f aca="false">IF(A293="","",DATE(YEAR(A293),MONTH(A293),1))</f>
        <v/>
      </c>
    </row>
    <row r="294" customFormat="false" ht="14.25" hidden="false" customHeight="false" outlineLevel="0" collapsed="false">
      <c r="A294" s="20"/>
      <c r="B294" s="21"/>
      <c r="C294" s="21"/>
      <c r="D294" s="21"/>
      <c r="E294" s="21"/>
      <c r="F294" s="22" t="str">
        <f aca="false">IF(A294="","",SUM(B294:E294))</f>
        <v/>
      </c>
      <c r="G294" s="23" t="str">
        <f aca="false">IF(A294="","",B294*Premissas!$C$4+C294*Premissas!$C$7+D294*Premissas!$C$6+E294*Premissas!$C$5)</f>
        <v/>
      </c>
      <c r="H294" s="24" t="str">
        <f aca="false">IF(A294="","",DATE(YEAR(A294),MONTH(A294),1))</f>
        <v/>
      </c>
    </row>
    <row r="295" customFormat="false" ht="14.25" hidden="false" customHeight="false" outlineLevel="0" collapsed="false">
      <c r="A295" s="20"/>
      <c r="B295" s="21"/>
      <c r="C295" s="21"/>
      <c r="D295" s="21"/>
      <c r="E295" s="21"/>
      <c r="F295" s="22" t="str">
        <f aca="false">IF(A295="","",SUM(B295:E295))</f>
        <v/>
      </c>
      <c r="G295" s="23" t="str">
        <f aca="false">IF(A295="","",B295*Premissas!$C$4+C295*Premissas!$C$7+D295*Premissas!$C$6+E295*Premissas!$C$5)</f>
        <v/>
      </c>
      <c r="H295" s="24" t="str">
        <f aca="false">IF(A295="","",DATE(YEAR(A295),MONTH(A295),1))</f>
        <v/>
      </c>
    </row>
    <row r="296" customFormat="false" ht="14.25" hidden="false" customHeight="false" outlineLevel="0" collapsed="false">
      <c r="A296" s="20"/>
      <c r="B296" s="21"/>
      <c r="C296" s="21"/>
      <c r="D296" s="21"/>
      <c r="E296" s="21"/>
      <c r="F296" s="22" t="str">
        <f aca="false">IF(A296="","",SUM(B296:E296))</f>
        <v/>
      </c>
      <c r="G296" s="23" t="str">
        <f aca="false">IF(A296="","",B296*Premissas!$C$4+C296*Premissas!$C$7+D296*Premissas!$C$6+E296*Premissas!$C$5)</f>
        <v/>
      </c>
      <c r="H296" s="24" t="str">
        <f aca="false">IF(A296="","",DATE(YEAR(A296),MONTH(A296),1))</f>
        <v/>
      </c>
    </row>
    <row r="297" customFormat="false" ht="14.25" hidden="false" customHeight="false" outlineLevel="0" collapsed="false">
      <c r="A297" s="20"/>
      <c r="B297" s="21"/>
      <c r="C297" s="21"/>
      <c r="D297" s="21"/>
      <c r="E297" s="21"/>
      <c r="F297" s="22" t="str">
        <f aca="false">IF(A297="","",SUM(B297:E297))</f>
        <v/>
      </c>
      <c r="G297" s="23" t="str">
        <f aca="false">IF(A297="","",B297*Premissas!$C$4+C297*Premissas!$C$7+D297*Premissas!$C$6+E297*Premissas!$C$5)</f>
        <v/>
      </c>
      <c r="H297" s="24" t="str">
        <f aca="false">IF(A297="","",DATE(YEAR(A297),MONTH(A297),1))</f>
        <v/>
      </c>
    </row>
    <row r="298" customFormat="false" ht="14.25" hidden="false" customHeight="false" outlineLevel="0" collapsed="false">
      <c r="A298" s="20"/>
      <c r="B298" s="21"/>
      <c r="C298" s="21"/>
      <c r="D298" s="21"/>
      <c r="E298" s="21"/>
      <c r="F298" s="22" t="str">
        <f aca="false">IF(A298="","",SUM(B298:E298))</f>
        <v/>
      </c>
      <c r="G298" s="23" t="str">
        <f aca="false">IF(A298="","",B298*Premissas!$C$4+C298*Premissas!$C$7+D298*Premissas!$C$6+E298*Premissas!$C$5)</f>
        <v/>
      </c>
      <c r="H298" s="24" t="str">
        <f aca="false">IF(A298="","",DATE(YEAR(A298),MONTH(A298),1))</f>
        <v/>
      </c>
    </row>
    <row r="299" customFormat="false" ht="14.25" hidden="false" customHeight="false" outlineLevel="0" collapsed="false">
      <c r="A299" s="20"/>
      <c r="B299" s="21"/>
      <c r="C299" s="21"/>
      <c r="D299" s="21"/>
      <c r="E299" s="21"/>
      <c r="F299" s="22" t="str">
        <f aca="false">IF(A299="","",SUM(B299:E299))</f>
        <v/>
      </c>
      <c r="G299" s="23" t="str">
        <f aca="false">IF(A299="","",B299*Premissas!$C$4+C299*Premissas!$C$7+D299*Premissas!$C$6+E299*Premissas!$C$5)</f>
        <v/>
      </c>
      <c r="H299" s="24" t="str">
        <f aca="false">IF(A299="","",DATE(YEAR(A299),MONTH(A299),1))</f>
        <v/>
      </c>
    </row>
    <row r="300" customFormat="false" ht="14.25" hidden="false" customHeight="false" outlineLevel="0" collapsed="false">
      <c r="A300" s="20"/>
      <c r="B300" s="21"/>
      <c r="C300" s="21"/>
      <c r="D300" s="21"/>
      <c r="E300" s="21"/>
      <c r="F300" s="22" t="str">
        <f aca="false">IF(A300="","",SUM(B300:E300))</f>
        <v/>
      </c>
      <c r="G300" s="23" t="str">
        <f aca="false">IF(A300="","",B300*Premissas!$C$4+C300*Premissas!$C$7+D300*Premissas!$C$6+E300*Premissas!$C$5)</f>
        <v/>
      </c>
      <c r="H300" s="24" t="str">
        <f aca="false">IF(A300="","",DATE(YEAR(A300),MONTH(A300),1))</f>
        <v/>
      </c>
    </row>
    <row r="301" customFormat="false" ht="14.25" hidden="false" customHeight="false" outlineLevel="0" collapsed="false">
      <c r="A301" s="20"/>
      <c r="B301" s="21"/>
      <c r="C301" s="21"/>
      <c r="D301" s="21"/>
      <c r="E301" s="21"/>
      <c r="F301" s="22" t="str">
        <f aca="false">IF(A301="","",SUM(B301:E301))</f>
        <v/>
      </c>
      <c r="G301" s="23" t="str">
        <f aca="false">IF(A301="","",B301*Premissas!$C$4+C301*Premissas!$C$7+D301*Premissas!$C$6+E301*Premissas!$C$5)</f>
        <v/>
      </c>
      <c r="H301" s="24" t="str">
        <f aca="false">IF(A301="","",DATE(YEAR(A301),MONTH(A301),1))</f>
        <v/>
      </c>
    </row>
    <row r="302" customFormat="false" ht="14.25" hidden="false" customHeight="false" outlineLevel="0" collapsed="false">
      <c r="A302" s="20"/>
      <c r="B302" s="21"/>
      <c r="C302" s="21"/>
      <c r="D302" s="21"/>
      <c r="E302" s="21"/>
      <c r="F302" s="22" t="str">
        <f aca="false">IF(A302="","",SUM(B302:E302))</f>
        <v/>
      </c>
      <c r="G302" s="23" t="str">
        <f aca="false">IF(A302="","",B302*Premissas!$C$4+C302*Premissas!$C$7+D302*Premissas!$C$6+E302*Premissas!$C$5)</f>
        <v/>
      </c>
      <c r="H302" s="24" t="str">
        <f aca="false">IF(A302="","",DATE(YEAR(A302),MONTH(A302),1))</f>
        <v/>
      </c>
    </row>
    <row r="303" customFormat="false" ht="14.25" hidden="false" customHeight="false" outlineLevel="0" collapsed="false">
      <c r="A303" s="20"/>
      <c r="B303" s="21"/>
      <c r="C303" s="21"/>
      <c r="D303" s="21"/>
      <c r="E303" s="21"/>
      <c r="F303" s="22" t="str">
        <f aca="false">IF(A303="","",SUM(B303:E303))</f>
        <v/>
      </c>
      <c r="G303" s="23" t="str">
        <f aca="false">IF(A303="","",B303*Premissas!$C$4+C303*Premissas!$C$7+D303*Premissas!$C$6+E303*Premissas!$C$5)</f>
        <v/>
      </c>
      <c r="H303" s="24" t="str">
        <f aca="false">IF(A303="","",DATE(YEAR(A303),MONTH(A303),1))</f>
        <v/>
      </c>
    </row>
    <row r="304" customFormat="false" ht="14.25" hidden="false" customHeight="false" outlineLevel="0" collapsed="false">
      <c r="A304" s="20"/>
      <c r="B304" s="21"/>
      <c r="C304" s="21"/>
      <c r="D304" s="21"/>
      <c r="E304" s="21"/>
      <c r="F304" s="22" t="str">
        <f aca="false">IF(A304="","",SUM(B304:E304))</f>
        <v/>
      </c>
      <c r="G304" s="23" t="str">
        <f aca="false">IF(A304="","",B304*Premissas!$C$4+C304*Premissas!$C$7+D304*Premissas!$C$6+E304*Premissas!$C$5)</f>
        <v/>
      </c>
      <c r="H304" s="24" t="str">
        <f aca="false">IF(A304="","",DATE(YEAR(A304),MONTH(A304),1))</f>
        <v/>
      </c>
    </row>
    <row r="305" customFormat="false" ht="14.25" hidden="false" customHeight="false" outlineLevel="0" collapsed="false">
      <c r="A305" s="20"/>
      <c r="B305" s="21"/>
      <c r="C305" s="21"/>
      <c r="D305" s="21"/>
      <c r="E305" s="21"/>
      <c r="F305" s="22" t="str">
        <f aca="false">IF(A305="","",SUM(B305:E305))</f>
        <v/>
      </c>
      <c r="G305" s="23" t="str">
        <f aca="false">IF(A305="","",B305*Premissas!$C$4+C305*Premissas!$C$7+D305*Premissas!$C$6+E305*Premissas!$C$5)</f>
        <v/>
      </c>
      <c r="H305" s="24" t="str">
        <f aca="false">IF(A305="","",DATE(YEAR(A305),MONTH(A305),1))</f>
        <v/>
      </c>
    </row>
    <row r="306" customFormat="false" ht="14.25" hidden="false" customHeight="false" outlineLevel="0" collapsed="false">
      <c r="A306" s="20"/>
      <c r="B306" s="21"/>
      <c r="C306" s="21"/>
      <c r="D306" s="21"/>
      <c r="E306" s="21"/>
      <c r="F306" s="22" t="str">
        <f aca="false">IF(A306="","",SUM(B306:E306))</f>
        <v/>
      </c>
      <c r="G306" s="23" t="str">
        <f aca="false">IF(A306="","",B306*Premissas!$C$4+C306*Premissas!$C$7+D306*Premissas!$C$6+E306*Premissas!$C$5)</f>
        <v/>
      </c>
      <c r="H306" s="24" t="str">
        <f aca="false">IF(A306="","",DATE(YEAR(A306),MONTH(A306),1))</f>
        <v/>
      </c>
    </row>
    <row r="307" customFormat="false" ht="14.25" hidden="false" customHeight="false" outlineLevel="0" collapsed="false">
      <c r="A307" s="20"/>
      <c r="B307" s="21"/>
      <c r="C307" s="21"/>
      <c r="D307" s="21"/>
      <c r="E307" s="21"/>
      <c r="F307" s="22" t="str">
        <f aca="false">IF(A307="","",SUM(B307:E307))</f>
        <v/>
      </c>
      <c r="G307" s="23" t="str">
        <f aca="false">IF(A307="","",B307*Premissas!$C$4+C307*Premissas!$C$7+D307*Premissas!$C$6+E307*Premissas!$C$5)</f>
        <v/>
      </c>
      <c r="H307" s="24" t="str">
        <f aca="false">IF(A307="","",DATE(YEAR(A307),MONTH(A307),1))</f>
        <v/>
      </c>
    </row>
    <row r="308" customFormat="false" ht="14.25" hidden="false" customHeight="false" outlineLevel="0" collapsed="false">
      <c r="A308" s="20"/>
      <c r="B308" s="21"/>
      <c r="C308" s="21"/>
      <c r="D308" s="21"/>
      <c r="E308" s="21"/>
      <c r="F308" s="22" t="str">
        <f aca="false">IF(A308="","",SUM(B308:E308))</f>
        <v/>
      </c>
      <c r="G308" s="23" t="str">
        <f aca="false">IF(A308="","",B308*Premissas!$C$4+C308*Premissas!$C$7+D308*Premissas!$C$6+E308*Premissas!$C$5)</f>
        <v/>
      </c>
      <c r="H308" s="24" t="str">
        <f aca="false">IF(A308="","",DATE(YEAR(A308),MONTH(A308),1))</f>
        <v/>
      </c>
    </row>
    <row r="309" customFormat="false" ht="14.25" hidden="false" customHeight="false" outlineLevel="0" collapsed="false">
      <c r="A309" s="20"/>
      <c r="B309" s="21"/>
      <c r="C309" s="21"/>
      <c r="D309" s="21"/>
      <c r="E309" s="21"/>
      <c r="F309" s="22" t="str">
        <f aca="false">IF(A309="","",SUM(B309:E309))</f>
        <v/>
      </c>
      <c r="G309" s="23" t="str">
        <f aca="false">IF(A309="","",B309*Premissas!$C$4+C309*Premissas!$C$7+D309*Premissas!$C$6+E309*Premissas!$C$5)</f>
        <v/>
      </c>
      <c r="H309" s="24" t="str">
        <f aca="false">IF(A309="","",DATE(YEAR(A309),MONTH(A309),1))</f>
        <v/>
      </c>
    </row>
    <row r="310" customFormat="false" ht="14.25" hidden="false" customHeight="false" outlineLevel="0" collapsed="false">
      <c r="A310" s="20"/>
      <c r="B310" s="21"/>
      <c r="C310" s="21"/>
      <c r="D310" s="21"/>
      <c r="E310" s="21"/>
      <c r="F310" s="22" t="str">
        <f aca="false">IF(A310="","",SUM(B310:E310))</f>
        <v/>
      </c>
      <c r="G310" s="23" t="str">
        <f aca="false">IF(A310="","",B310*Premissas!$C$4+C310*Premissas!$C$7+D310*Premissas!$C$6+E310*Premissas!$C$5)</f>
        <v/>
      </c>
      <c r="H310" s="24" t="str">
        <f aca="false">IF(A310="","",DATE(YEAR(A310),MONTH(A310),1))</f>
        <v/>
      </c>
    </row>
    <row r="311" customFormat="false" ht="14.25" hidden="false" customHeight="false" outlineLevel="0" collapsed="false">
      <c r="A311" s="20"/>
      <c r="B311" s="21"/>
      <c r="C311" s="21"/>
      <c r="D311" s="21"/>
      <c r="E311" s="21"/>
      <c r="F311" s="22" t="str">
        <f aca="false">IF(A311="","",SUM(B311:E311))</f>
        <v/>
      </c>
      <c r="G311" s="23" t="str">
        <f aca="false">IF(A311="","",B311*Premissas!$C$4+C311*Premissas!$C$7+D311*Premissas!$C$6+E311*Premissas!$C$5)</f>
        <v/>
      </c>
      <c r="H311" s="24" t="str">
        <f aca="false">IF(A311="","",DATE(YEAR(A311),MONTH(A311),1))</f>
        <v/>
      </c>
    </row>
    <row r="312" customFormat="false" ht="14.25" hidden="false" customHeight="false" outlineLevel="0" collapsed="false">
      <c r="A312" s="20"/>
      <c r="B312" s="21"/>
      <c r="C312" s="21"/>
      <c r="D312" s="21"/>
      <c r="E312" s="21"/>
      <c r="F312" s="22" t="str">
        <f aca="false">IF(A312="","",SUM(B312:E312))</f>
        <v/>
      </c>
      <c r="G312" s="23" t="str">
        <f aca="false">IF(A312="","",B312*Premissas!$C$4+C312*Premissas!$C$7+D312*Premissas!$C$6+E312*Premissas!$C$5)</f>
        <v/>
      </c>
      <c r="H312" s="24" t="str">
        <f aca="false">IF(A312="","",DATE(YEAR(A312),MONTH(A312),1))</f>
        <v/>
      </c>
    </row>
    <row r="313" customFormat="false" ht="14.25" hidden="false" customHeight="false" outlineLevel="0" collapsed="false">
      <c r="A313" s="20"/>
      <c r="B313" s="21"/>
      <c r="C313" s="21"/>
      <c r="D313" s="21"/>
      <c r="E313" s="21"/>
      <c r="F313" s="22" t="str">
        <f aca="false">IF(A313="","",SUM(B313:E313))</f>
        <v/>
      </c>
      <c r="G313" s="23" t="str">
        <f aca="false">IF(A313="","",B313*Premissas!$C$4+C313*Premissas!$C$7+D313*Premissas!$C$6+E313*Premissas!$C$5)</f>
        <v/>
      </c>
      <c r="H313" s="24" t="str">
        <f aca="false">IF(A313="","",DATE(YEAR(A313),MONTH(A313),1))</f>
        <v/>
      </c>
    </row>
    <row r="314" customFormat="false" ht="14.25" hidden="false" customHeight="false" outlineLevel="0" collapsed="false">
      <c r="A314" s="20"/>
      <c r="B314" s="21"/>
      <c r="C314" s="21"/>
      <c r="D314" s="21"/>
      <c r="E314" s="21"/>
      <c r="F314" s="22" t="str">
        <f aca="false">IF(A314="","",SUM(B314:E314))</f>
        <v/>
      </c>
      <c r="G314" s="23" t="str">
        <f aca="false">IF(A314="","",B314*Premissas!$C$4+C314*Premissas!$C$7+D314*Premissas!$C$6+E314*Premissas!$C$5)</f>
        <v/>
      </c>
      <c r="H314" s="24" t="str">
        <f aca="false">IF(A314="","",DATE(YEAR(A314),MONTH(A314),1))</f>
        <v/>
      </c>
    </row>
    <row r="315" customFormat="false" ht="14.25" hidden="false" customHeight="false" outlineLevel="0" collapsed="false">
      <c r="A315" s="20"/>
      <c r="B315" s="21"/>
      <c r="C315" s="21"/>
      <c r="D315" s="21"/>
      <c r="E315" s="21"/>
      <c r="F315" s="22" t="str">
        <f aca="false">IF(A315="","",SUM(B315:E315))</f>
        <v/>
      </c>
      <c r="G315" s="23" t="str">
        <f aca="false">IF(A315="","",B315*Premissas!$C$4+C315*Premissas!$C$7+D315*Premissas!$C$6+E315*Premissas!$C$5)</f>
        <v/>
      </c>
      <c r="H315" s="24" t="str">
        <f aca="false">IF(A315="","",DATE(YEAR(A315),MONTH(A315),1))</f>
        <v/>
      </c>
    </row>
    <row r="316" customFormat="false" ht="14.25" hidden="false" customHeight="false" outlineLevel="0" collapsed="false">
      <c r="A316" s="20"/>
      <c r="B316" s="21"/>
      <c r="C316" s="21"/>
      <c r="D316" s="21"/>
      <c r="E316" s="21"/>
      <c r="F316" s="22" t="str">
        <f aca="false">IF(A316="","",SUM(B316:E316))</f>
        <v/>
      </c>
      <c r="G316" s="23" t="str">
        <f aca="false">IF(A316="","",B316*Premissas!$C$4+C316*Premissas!$C$7+D316*Premissas!$C$6+E316*Premissas!$C$5)</f>
        <v/>
      </c>
      <c r="H316" s="24" t="str">
        <f aca="false">IF(A316="","",DATE(YEAR(A316),MONTH(A316),1))</f>
        <v/>
      </c>
    </row>
    <row r="317" customFormat="false" ht="14.25" hidden="false" customHeight="false" outlineLevel="0" collapsed="false">
      <c r="A317" s="20"/>
      <c r="B317" s="21"/>
      <c r="C317" s="21"/>
      <c r="D317" s="21"/>
      <c r="E317" s="21"/>
      <c r="F317" s="22" t="str">
        <f aca="false">IF(A317="","",SUM(B317:E317))</f>
        <v/>
      </c>
      <c r="G317" s="23" t="str">
        <f aca="false">IF(A317="","",B317*Premissas!$C$4+C317*Premissas!$C$7+D317*Premissas!$C$6+E317*Premissas!$C$5)</f>
        <v/>
      </c>
      <c r="H317" s="24" t="str">
        <f aca="false">IF(A317="","",DATE(YEAR(A317),MONTH(A317),1))</f>
        <v/>
      </c>
    </row>
    <row r="318" customFormat="false" ht="14.25" hidden="false" customHeight="false" outlineLevel="0" collapsed="false">
      <c r="A318" s="20"/>
      <c r="B318" s="21"/>
      <c r="C318" s="21"/>
      <c r="D318" s="21"/>
      <c r="E318" s="21"/>
      <c r="F318" s="22" t="str">
        <f aca="false">IF(A318="","",SUM(B318:E318))</f>
        <v/>
      </c>
      <c r="G318" s="23" t="str">
        <f aca="false">IF(A318="","",B318*Premissas!$C$4+C318*Premissas!$C$7+D318*Premissas!$C$6+E318*Premissas!$C$5)</f>
        <v/>
      </c>
      <c r="H318" s="24" t="str">
        <f aca="false">IF(A318="","",DATE(YEAR(A318),MONTH(A318),1))</f>
        <v/>
      </c>
    </row>
    <row r="319" customFormat="false" ht="14.25" hidden="false" customHeight="false" outlineLevel="0" collapsed="false">
      <c r="A319" s="20"/>
      <c r="B319" s="21"/>
      <c r="C319" s="21"/>
      <c r="D319" s="21"/>
      <c r="E319" s="21"/>
      <c r="F319" s="22" t="str">
        <f aca="false">IF(A319="","",SUM(B319:E319))</f>
        <v/>
      </c>
      <c r="G319" s="23" t="str">
        <f aca="false">IF(A319="","",B319*Premissas!$C$4+C319*Premissas!$C$7+D319*Premissas!$C$6+E319*Premissas!$C$5)</f>
        <v/>
      </c>
      <c r="H319" s="24" t="str">
        <f aca="false">IF(A319="","",DATE(YEAR(A319),MONTH(A319),1))</f>
        <v/>
      </c>
    </row>
    <row r="320" customFormat="false" ht="14.25" hidden="false" customHeight="false" outlineLevel="0" collapsed="false">
      <c r="A320" s="20"/>
      <c r="B320" s="21"/>
      <c r="C320" s="21"/>
      <c r="D320" s="21"/>
      <c r="E320" s="21"/>
      <c r="F320" s="22" t="str">
        <f aca="false">IF(A320="","",SUM(B320:E320))</f>
        <v/>
      </c>
      <c r="G320" s="23" t="str">
        <f aca="false">IF(A320="","",B320*Premissas!$C$4+C320*Premissas!$C$7+D320*Premissas!$C$6+E320*Premissas!$C$5)</f>
        <v/>
      </c>
      <c r="H320" s="24" t="str">
        <f aca="false">IF(A320="","",DATE(YEAR(A320),MONTH(A320),1))</f>
        <v/>
      </c>
    </row>
    <row r="321" customFormat="false" ht="14.25" hidden="false" customHeight="false" outlineLevel="0" collapsed="false">
      <c r="A321" s="20"/>
      <c r="B321" s="21"/>
      <c r="C321" s="21"/>
      <c r="D321" s="21"/>
      <c r="E321" s="21"/>
      <c r="F321" s="22" t="str">
        <f aca="false">IF(A321="","",SUM(B321:E321))</f>
        <v/>
      </c>
      <c r="G321" s="23" t="str">
        <f aca="false">IF(A321="","",B321*Premissas!$C$4+C321*Premissas!$C$7+D321*Premissas!$C$6+E321*Premissas!$C$5)</f>
        <v/>
      </c>
      <c r="H321" s="24" t="str">
        <f aca="false">IF(A321="","",DATE(YEAR(A321),MONTH(A321),1))</f>
        <v/>
      </c>
    </row>
    <row r="322" customFormat="false" ht="14.25" hidden="false" customHeight="false" outlineLevel="0" collapsed="false">
      <c r="A322" s="20"/>
      <c r="B322" s="21"/>
      <c r="C322" s="21"/>
      <c r="D322" s="21"/>
      <c r="E322" s="21"/>
      <c r="F322" s="22" t="str">
        <f aca="false">IF(A322="","",SUM(B322:E322))</f>
        <v/>
      </c>
      <c r="G322" s="23" t="str">
        <f aca="false">IF(A322="","",B322*Premissas!$C$4+C322*Premissas!$C$7+D322*Premissas!$C$6+E322*Premissas!$C$5)</f>
        <v/>
      </c>
      <c r="H322" s="24" t="str">
        <f aca="false">IF(A322="","",DATE(YEAR(A322),MONTH(A322),1))</f>
        <v/>
      </c>
    </row>
    <row r="323" customFormat="false" ht="14.25" hidden="false" customHeight="false" outlineLevel="0" collapsed="false">
      <c r="A323" s="20"/>
      <c r="B323" s="21"/>
      <c r="C323" s="21"/>
      <c r="D323" s="21"/>
      <c r="E323" s="21"/>
      <c r="F323" s="22" t="str">
        <f aca="false">IF(A323="","",SUM(B323:E323))</f>
        <v/>
      </c>
      <c r="G323" s="23" t="str">
        <f aca="false">IF(A323="","",B323*Premissas!$C$4+C323*Premissas!$C$7+D323*Premissas!$C$6+E323*Premissas!$C$5)</f>
        <v/>
      </c>
      <c r="H323" s="24" t="str">
        <f aca="false">IF(A323="","",DATE(YEAR(A323),MONTH(A323),1))</f>
        <v/>
      </c>
    </row>
    <row r="324" customFormat="false" ht="14.25" hidden="false" customHeight="false" outlineLevel="0" collapsed="false">
      <c r="A324" s="20"/>
      <c r="B324" s="21"/>
      <c r="C324" s="21"/>
      <c r="D324" s="21"/>
      <c r="E324" s="21"/>
      <c r="F324" s="22" t="str">
        <f aca="false">IF(A324="","",SUM(B324:E324))</f>
        <v/>
      </c>
      <c r="G324" s="23" t="str">
        <f aca="false">IF(A324="","",B324*Premissas!$C$4+C324*Premissas!$C$7+D324*Premissas!$C$6+E324*Premissas!$C$5)</f>
        <v/>
      </c>
      <c r="H324" s="24" t="str">
        <f aca="false">IF(A324="","",DATE(YEAR(A324),MONTH(A324),1))</f>
        <v/>
      </c>
    </row>
    <row r="325" customFormat="false" ht="14.25" hidden="false" customHeight="false" outlineLevel="0" collapsed="false">
      <c r="A325" s="20"/>
      <c r="B325" s="21"/>
      <c r="C325" s="21"/>
      <c r="D325" s="21"/>
      <c r="E325" s="21"/>
      <c r="F325" s="22" t="str">
        <f aca="false">IF(A325="","",SUM(B325:E325))</f>
        <v/>
      </c>
      <c r="G325" s="23" t="str">
        <f aca="false">IF(A325="","",B325*Premissas!$C$4+C325*Premissas!$C$7+D325*Premissas!$C$6+E325*Premissas!$C$5)</f>
        <v/>
      </c>
      <c r="H325" s="24" t="str">
        <f aca="false">IF(A325="","",DATE(YEAR(A325),MONTH(A325),1))</f>
        <v/>
      </c>
    </row>
    <row r="326" customFormat="false" ht="14.25" hidden="false" customHeight="false" outlineLevel="0" collapsed="false">
      <c r="A326" s="20"/>
      <c r="B326" s="21"/>
      <c r="C326" s="21"/>
      <c r="D326" s="21"/>
      <c r="E326" s="21"/>
      <c r="F326" s="22" t="str">
        <f aca="false">IF(A326="","",SUM(B326:E326))</f>
        <v/>
      </c>
      <c r="G326" s="23" t="str">
        <f aca="false">IF(A326="","",B326*Premissas!$C$4+C326*Premissas!$C$7+D326*Premissas!$C$6+E326*Premissas!$C$5)</f>
        <v/>
      </c>
      <c r="H326" s="24" t="str">
        <f aca="false">IF(A326="","",DATE(YEAR(A326),MONTH(A326),1))</f>
        <v/>
      </c>
    </row>
    <row r="327" customFormat="false" ht="14.25" hidden="false" customHeight="false" outlineLevel="0" collapsed="false">
      <c r="A327" s="20"/>
      <c r="B327" s="21"/>
      <c r="C327" s="21"/>
      <c r="D327" s="21"/>
      <c r="E327" s="21"/>
      <c r="F327" s="22" t="str">
        <f aca="false">IF(A327="","",SUM(B327:E327))</f>
        <v/>
      </c>
      <c r="G327" s="23" t="str">
        <f aca="false">IF(A327="","",B327*Premissas!$C$4+C327*Premissas!$C$7+D327*Premissas!$C$6+E327*Premissas!$C$5)</f>
        <v/>
      </c>
      <c r="H327" s="24" t="str">
        <f aca="false">IF(A327="","",DATE(YEAR(A327),MONTH(A327),1))</f>
        <v/>
      </c>
    </row>
    <row r="328" customFormat="false" ht="14.25" hidden="false" customHeight="false" outlineLevel="0" collapsed="false">
      <c r="A328" s="20"/>
      <c r="B328" s="21"/>
      <c r="C328" s="21"/>
      <c r="D328" s="21"/>
      <c r="E328" s="21"/>
      <c r="F328" s="22" t="str">
        <f aca="false">IF(A328="","",SUM(B328:E328))</f>
        <v/>
      </c>
      <c r="G328" s="23" t="str">
        <f aca="false">IF(A328="","",B328*Premissas!$C$4+C328*Premissas!$C$7+D328*Premissas!$C$6+E328*Premissas!$C$5)</f>
        <v/>
      </c>
      <c r="H328" s="24" t="str">
        <f aca="false">IF(A328="","",DATE(YEAR(A328),MONTH(A328),1))</f>
        <v/>
      </c>
    </row>
    <row r="329" customFormat="false" ht="14.25" hidden="false" customHeight="false" outlineLevel="0" collapsed="false">
      <c r="A329" s="20"/>
      <c r="B329" s="21"/>
      <c r="C329" s="21"/>
      <c r="D329" s="21"/>
      <c r="E329" s="21"/>
      <c r="F329" s="22" t="str">
        <f aca="false">IF(A329="","",SUM(B329:E329))</f>
        <v/>
      </c>
      <c r="G329" s="23" t="str">
        <f aca="false">IF(A329="","",B329*Premissas!$C$4+C329*Premissas!$C$7+D329*Premissas!$C$6+E329*Premissas!$C$5)</f>
        <v/>
      </c>
      <c r="H329" s="24" t="str">
        <f aca="false">IF(A329="","",DATE(YEAR(A329),MONTH(A329),1))</f>
        <v/>
      </c>
    </row>
    <row r="330" customFormat="false" ht="14.25" hidden="false" customHeight="false" outlineLevel="0" collapsed="false">
      <c r="A330" s="20"/>
      <c r="B330" s="21"/>
      <c r="C330" s="21"/>
      <c r="D330" s="21"/>
      <c r="E330" s="21"/>
      <c r="F330" s="22" t="str">
        <f aca="false">IF(A330="","",SUM(B330:E330))</f>
        <v/>
      </c>
      <c r="G330" s="23" t="str">
        <f aca="false">IF(A330="","",B330*Premissas!$C$4+C330*Premissas!$C$7+D330*Premissas!$C$6+E330*Premissas!$C$5)</f>
        <v/>
      </c>
      <c r="H330" s="24" t="str">
        <f aca="false">IF(A330="","",DATE(YEAR(A330),MONTH(A330),1))</f>
        <v/>
      </c>
    </row>
    <row r="331" customFormat="false" ht="14.25" hidden="false" customHeight="false" outlineLevel="0" collapsed="false">
      <c r="A331" s="20"/>
      <c r="B331" s="21"/>
      <c r="C331" s="21"/>
      <c r="D331" s="21"/>
      <c r="E331" s="21"/>
      <c r="F331" s="22" t="str">
        <f aca="false">IF(A331="","",SUM(B331:E331))</f>
        <v/>
      </c>
      <c r="G331" s="23" t="str">
        <f aca="false">IF(A331="","",B331*Premissas!$C$4+C331*Premissas!$C$7+D331*Premissas!$C$6+E331*Premissas!$C$5)</f>
        <v/>
      </c>
      <c r="H331" s="24" t="str">
        <f aca="false">IF(A331="","",DATE(YEAR(A331),MONTH(A331),1))</f>
        <v/>
      </c>
    </row>
    <row r="332" customFormat="false" ht="14.25" hidden="false" customHeight="false" outlineLevel="0" collapsed="false">
      <c r="A332" s="20"/>
      <c r="B332" s="21"/>
      <c r="C332" s="21"/>
      <c r="D332" s="21"/>
      <c r="E332" s="21"/>
      <c r="F332" s="22" t="str">
        <f aca="false">IF(A332="","",SUM(B332:E332))</f>
        <v/>
      </c>
      <c r="G332" s="23" t="str">
        <f aca="false">IF(A332="","",B332*Premissas!$C$4+C332*Premissas!$C$7+D332*Premissas!$C$6+E332*Premissas!$C$5)</f>
        <v/>
      </c>
      <c r="H332" s="24" t="str">
        <f aca="false">IF(A332="","",DATE(YEAR(A332),MONTH(A332),1))</f>
        <v/>
      </c>
    </row>
    <row r="333" customFormat="false" ht="14.25" hidden="false" customHeight="false" outlineLevel="0" collapsed="false">
      <c r="A333" s="20"/>
      <c r="B333" s="21"/>
      <c r="C333" s="21"/>
      <c r="D333" s="21"/>
      <c r="E333" s="21"/>
      <c r="F333" s="22" t="str">
        <f aca="false">IF(A333="","",SUM(B333:E333))</f>
        <v/>
      </c>
      <c r="G333" s="23" t="str">
        <f aca="false">IF(A333="","",B333*Premissas!$C$4+C333*Premissas!$C$7+D333*Premissas!$C$6+E333*Premissas!$C$5)</f>
        <v/>
      </c>
      <c r="H333" s="24" t="str">
        <f aca="false">IF(A333="","",DATE(YEAR(A333),MONTH(A333),1))</f>
        <v/>
      </c>
    </row>
    <row r="334" customFormat="false" ht="14.25" hidden="false" customHeight="false" outlineLevel="0" collapsed="false">
      <c r="A334" s="20"/>
      <c r="B334" s="21"/>
      <c r="C334" s="21"/>
      <c r="D334" s="21"/>
      <c r="E334" s="21"/>
      <c r="F334" s="22" t="str">
        <f aca="false">IF(A334="","",SUM(B334:E334))</f>
        <v/>
      </c>
      <c r="G334" s="23" t="str">
        <f aca="false">IF(A334="","",B334*Premissas!$C$4+C334*Premissas!$C$7+D334*Premissas!$C$6+E334*Premissas!$C$5)</f>
        <v/>
      </c>
      <c r="H334" s="24" t="str">
        <f aca="false">IF(A334="","",DATE(YEAR(A334),MONTH(A334),1))</f>
        <v/>
      </c>
    </row>
    <row r="335" customFormat="false" ht="14.25" hidden="false" customHeight="false" outlineLevel="0" collapsed="false">
      <c r="A335" s="20"/>
      <c r="B335" s="21"/>
      <c r="C335" s="21"/>
      <c r="D335" s="21"/>
      <c r="E335" s="21"/>
      <c r="F335" s="22" t="str">
        <f aca="false">IF(A335="","",SUM(B335:E335))</f>
        <v/>
      </c>
      <c r="G335" s="23" t="str">
        <f aca="false">IF(A335="","",B335*Premissas!$C$4+C335*Premissas!$C$7+D335*Premissas!$C$6+E335*Premissas!$C$5)</f>
        <v/>
      </c>
      <c r="H335" s="24" t="str">
        <f aca="false">IF(A335="","",DATE(YEAR(A335),MONTH(A335),1))</f>
        <v/>
      </c>
    </row>
    <row r="336" customFormat="false" ht="14.25" hidden="false" customHeight="false" outlineLevel="0" collapsed="false">
      <c r="A336" s="20"/>
      <c r="B336" s="21"/>
      <c r="C336" s="21"/>
      <c r="D336" s="21"/>
      <c r="E336" s="21"/>
      <c r="F336" s="22" t="str">
        <f aca="false">IF(A336="","",SUM(B336:E336))</f>
        <v/>
      </c>
      <c r="G336" s="23" t="str">
        <f aca="false">IF(A336="","",B336*Premissas!$C$4+C336*Premissas!$C$7+D336*Premissas!$C$6+E336*Premissas!$C$5)</f>
        <v/>
      </c>
      <c r="H336" s="24" t="str">
        <f aca="false">IF(A336="","",DATE(YEAR(A336),MONTH(A336),1))</f>
        <v/>
      </c>
    </row>
    <row r="337" customFormat="false" ht="14.25" hidden="false" customHeight="false" outlineLevel="0" collapsed="false">
      <c r="A337" s="20"/>
      <c r="B337" s="21"/>
      <c r="C337" s="21"/>
      <c r="D337" s="21"/>
      <c r="E337" s="21"/>
      <c r="F337" s="22" t="str">
        <f aca="false">IF(A337="","",SUM(B337:E337))</f>
        <v/>
      </c>
      <c r="G337" s="23" t="str">
        <f aca="false">IF(A337="","",B337*Premissas!$C$4+C337*Premissas!$C$7+D337*Premissas!$C$6+E337*Premissas!$C$5)</f>
        <v/>
      </c>
      <c r="H337" s="24" t="str">
        <f aca="false">IF(A337="","",DATE(YEAR(A337),MONTH(A337),1))</f>
        <v/>
      </c>
    </row>
    <row r="338" customFormat="false" ht="14.25" hidden="false" customHeight="false" outlineLevel="0" collapsed="false">
      <c r="A338" s="20"/>
      <c r="B338" s="21"/>
      <c r="C338" s="21"/>
      <c r="D338" s="21"/>
      <c r="E338" s="21"/>
      <c r="F338" s="22" t="str">
        <f aca="false">IF(A338="","",SUM(B338:E338))</f>
        <v/>
      </c>
      <c r="G338" s="23" t="str">
        <f aca="false">IF(A338="","",B338*Premissas!$C$4+C338*Premissas!$C$7+D338*Premissas!$C$6+E338*Premissas!$C$5)</f>
        <v/>
      </c>
      <c r="H338" s="24" t="str">
        <f aca="false">IF(A338="","",DATE(YEAR(A338),MONTH(A338),1))</f>
        <v/>
      </c>
    </row>
    <row r="339" customFormat="false" ht="14.25" hidden="false" customHeight="false" outlineLevel="0" collapsed="false">
      <c r="A339" s="20"/>
      <c r="B339" s="21"/>
      <c r="C339" s="21"/>
      <c r="D339" s="21"/>
      <c r="E339" s="21"/>
      <c r="F339" s="22" t="str">
        <f aca="false">IF(A339="","",SUM(B339:E339))</f>
        <v/>
      </c>
      <c r="G339" s="23" t="str">
        <f aca="false">IF(A339="","",B339*Premissas!$C$4+C339*Premissas!$C$7+D339*Premissas!$C$6+E339*Premissas!$C$5)</f>
        <v/>
      </c>
      <c r="H339" s="24" t="str">
        <f aca="false">IF(A339="","",DATE(YEAR(A339),MONTH(A339),1))</f>
        <v/>
      </c>
    </row>
    <row r="340" customFormat="false" ht="14.25" hidden="false" customHeight="false" outlineLevel="0" collapsed="false">
      <c r="A340" s="20"/>
      <c r="B340" s="21"/>
      <c r="C340" s="21"/>
      <c r="D340" s="21"/>
      <c r="E340" s="21"/>
      <c r="F340" s="22" t="str">
        <f aca="false">IF(A340="","",SUM(B340:E340))</f>
        <v/>
      </c>
      <c r="G340" s="23" t="str">
        <f aca="false">IF(A340="","",B340*Premissas!$C$4+C340*Premissas!$C$7+D340*Premissas!$C$6+E340*Premissas!$C$5)</f>
        <v/>
      </c>
      <c r="H340" s="24" t="str">
        <f aca="false">IF(A340="","",DATE(YEAR(A340),MONTH(A340),1))</f>
        <v/>
      </c>
    </row>
    <row r="341" customFormat="false" ht="14.25" hidden="false" customHeight="false" outlineLevel="0" collapsed="false">
      <c r="A341" s="20"/>
      <c r="B341" s="21"/>
      <c r="C341" s="21"/>
      <c r="D341" s="21"/>
      <c r="E341" s="21"/>
      <c r="F341" s="22" t="str">
        <f aca="false">IF(A341="","",SUM(B341:E341))</f>
        <v/>
      </c>
      <c r="G341" s="23" t="str">
        <f aca="false">IF(A341="","",B341*Premissas!$C$4+C341*Premissas!$C$7+D341*Premissas!$C$6+E341*Premissas!$C$5)</f>
        <v/>
      </c>
      <c r="H341" s="24" t="str">
        <f aca="false">IF(A341="","",DATE(YEAR(A341),MONTH(A341),1))</f>
        <v/>
      </c>
    </row>
    <row r="342" customFormat="false" ht="14.25" hidden="false" customHeight="false" outlineLevel="0" collapsed="false">
      <c r="A342" s="20"/>
      <c r="B342" s="21"/>
      <c r="C342" s="21"/>
      <c r="D342" s="21"/>
      <c r="E342" s="21"/>
      <c r="F342" s="22" t="str">
        <f aca="false">IF(A342="","",SUM(B342:E342))</f>
        <v/>
      </c>
      <c r="G342" s="23" t="str">
        <f aca="false">IF(A342="","",B342*Premissas!$C$4+C342*Premissas!$C$7+D342*Premissas!$C$6+E342*Premissas!$C$5)</f>
        <v/>
      </c>
      <c r="H342" s="24" t="str">
        <f aca="false">IF(A342="","",DATE(YEAR(A342),MONTH(A342),1))</f>
        <v/>
      </c>
    </row>
    <row r="343" customFormat="false" ht="14.25" hidden="false" customHeight="false" outlineLevel="0" collapsed="false">
      <c r="A343" s="20"/>
      <c r="B343" s="21"/>
      <c r="C343" s="21"/>
      <c r="D343" s="21"/>
      <c r="E343" s="21"/>
      <c r="F343" s="22" t="str">
        <f aca="false">IF(A343="","",SUM(B343:E343))</f>
        <v/>
      </c>
      <c r="G343" s="23" t="str">
        <f aca="false">IF(A343="","",B343*Premissas!$C$4+C343*Premissas!$C$7+D343*Premissas!$C$6+E343*Premissas!$C$5)</f>
        <v/>
      </c>
      <c r="H343" s="24" t="str">
        <f aca="false">IF(A343="","",DATE(YEAR(A343),MONTH(A343),1))</f>
        <v/>
      </c>
    </row>
    <row r="344" customFormat="false" ht="14.25" hidden="false" customHeight="false" outlineLevel="0" collapsed="false">
      <c r="A344" s="20"/>
      <c r="B344" s="21"/>
      <c r="C344" s="21"/>
      <c r="D344" s="21"/>
      <c r="E344" s="21"/>
      <c r="F344" s="22" t="str">
        <f aca="false">IF(A344="","",SUM(B344:E344))</f>
        <v/>
      </c>
      <c r="G344" s="23" t="str">
        <f aca="false">IF(A344="","",B344*Premissas!$C$4+C344*Premissas!$C$7+D344*Premissas!$C$6+E344*Premissas!$C$5)</f>
        <v/>
      </c>
      <c r="H344" s="24" t="str">
        <f aca="false">IF(A344="","",DATE(YEAR(A344),MONTH(A344),1))</f>
        <v/>
      </c>
    </row>
    <row r="345" customFormat="false" ht="14.25" hidden="false" customHeight="false" outlineLevel="0" collapsed="false">
      <c r="A345" s="20"/>
      <c r="B345" s="21"/>
      <c r="C345" s="21"/>
      <c r="D345" s="21"/>
      <c r="E345" s="21"/>
      <c r="F345" s="22" t="str">
        <f aca="false">IF(A345="","",SUM(B345:E345))</f>
        <v/>
      </c>
      <c r="G345" s="23" t="str">
        <f aca="false">IF(A345="","",B345*Premissas!$C$4+C345*Premissas!$C$7+D345*Premissas!$C$6+E345*Premissas!$C$5)</f>
        <v/>
      </c>
      <c r="H345" s="24" t="str">
        <f aca="false">IF(A345="","",DATE(YEAR(A345),MONTH(A345),1))</f>
        <v/>
      </c>
    </row>
    <row r="346" customFormat="false" ht="14.25" hidden="false" customHeight="false" outlineLevel="0" collapsed="false">
      <c r="A346" s="20"/>
      <c r="B346" s="21"/>
      <c r="C346" s="21"/>
      <c r="D346" s="21"/>
      <c r="E346" s="21"/>
      <c r="F346" s="22" t="str">
        <f aca="false">IF(A346="","",SUM(B346:E346))</f>
        <v/>
      </c>
      <c r="G346" s="23" t="str">
        <f aca="false">IF(A346="","",B346*Premissas!$C$4+C346*Premissas!$C$7+D346*Premissas!$C$6+E346*Premissas!$C$5)</f>
        <v/>
      </c>
      <c r="H346" s="24" t="str">
        <f aca="false">IF(A346="","",DATE(YEAR(A346),MONTH(A346),1))</f>
        <v/>
      </c>
    </row>
    <row r="347" customFormat="false" ht="14.25" hidden="false" customHeight="false" outlineLevel="0" collapsed="false">
      <c r="A347" s="20"/>
      <c r="B347" s="21"/>
      <c r="C347" s="21"/>
      <c r="D347" s="21"/>
      <c r="E347" s="21"/>
      <c r="F347" s="22" t="str">
        <f aca="false">IF(A347="","",SUM(B347:E347))</f>
        <v/>
      </c>
      <c r="G347" s="23" t="str">
        <f aca="false">IF(A347="","",B347*Premissas!$C$4+C347*Premissas!$C$7+D347*Premissas!$C$6+E347*Premissas!$C$5)</f>
        <v/>
      </c>
      <c r="H347" s="24" t="str">
        <f aca="false">IF(A347="","",DATE(YEAR(A347),MONTH(A347),1))</f>
        <v/>
      </c>
    </row>
    <row r="348" customFormat="false" ht="14.25" hidden="false" customHeight="false" outlineLevel="0" collapsed="false">
      <c r="A348" s="20"/>
      <c r="B348" s="21"/>
      <c r="C348" s="21"/>
      <c r="D348" s="21"/>
      <c r="E348" s="21"/>
      <c r="F348" s="22" t="str">
        <f aca="false">IF(A348="","",SUM(B348:E348))</f>
        <v/>
      </c>
      <c r="G348" s="23" t="str">
        <f aca="false">IF(A348="","",B348*Premissas!$C$4+C348*Premissas!$C$7+D348*Premissas!$C$6+E348*Premissas!$C$5)</f>
        <v/>
      </c>
      <c r="H348" s="24" t="str">
        <f aca="false">IF(A348="","",DATE(YEAR(A348),MONTH(A348),1))</f>
        <v/>
      </c>
    </row>
    <row r="349" customFormat="false" ht="14.25" hidden="false" customHeight="false" outlineLevel="0" collapsed="false">
      <c r="A349" s="20"/>
      <c r="B349" s="21"/>
      <c r="C349" s="21"/>
      <c r="D349" s="21"/>
      <c r="E349" s="21"/>
      <c r="F349" s="22" t="str">
        <f aca="false">IF(A349="","",SUM(B349:E349))</f>
        <v/>
      </c>
      <c r="G349" s="23" t="str">
        <f aca="false">IF(A349="","",B349*Premissas!$C$4+C349*Premissas!$C$7+D349*Premissas!$C$6+E349*Premissas!$C$5)</f>
        <v/>
      </c>
      <c r="H349" s="24" t="str">
        <f aca="false">IF(A349="","",DATE(YEAR(A349),MONTH(A349),1))</f>
        <v/>
      </c>
    </row>
    <row r="350" customFormat="false" ht="14.25" hidden="false" customHeight="false" outlineLevel="0" collapsed="false">
      <c r="A350" s="20"/>
      <c r="B350" s="21"/>
      <c r="C350" s="21"/>
      <c r="D350" s="21"/>
      <c r="E350" s="21"/>
      <c r="F350" s="22" t="str">
        <f aca="false">IF(A350="","",SUM(B350:E350))</f>
        <v/>
      </c>
      <c r="G350" s="23" t="str">
        <f aca="false">IF(A350="","",B350*Premissas!$C$4+C350*Premissas!$C$7+D350*Premissas!$C$6+E350*Premissas!$C$5)</f>
        <v/>
      </c>
      <c r="H350" s="24" t="str">
        <f aca="false">IF(A350="","",DATE(YEAR(A350),MONTH(A350),1))</f>
        <v/>
      </c>
    </row>
    <row r="351" customFormat="false" ht="14.25" hidden="false" customHeight="false" outlineLevel="0" collapsed="false">
      <c r="A351" s="20"/>
      <c r="B351" s="21"/>
      <c r="C351" s="21"/>
      <c r="D351" s="21"/>
      <c r="E351" s="21"/>
      <c r="F351" s="22" t="str">
        <f aca="false">IF(A351="","",SUM(B351:E351))</f>
        <v/>
      </c>
      <c r="G351" s="23" t="str">
        <f aca="false">IF(A351="","",B351*Premissas!$C$4+C351*Premissas!$C$7+D351*Premissas!$C$6+E351*Premissas!$C$5)</f>
        <v/>
      </c>
      <c r="H351" s="24" t="str">
        <f aca="false">IF(A351="","",DATE(YEAR(A351),MONTH(A351),1))</f>
        <v/>
      </c>
    </row>
    <row r="352" customFormat="false" ht="14.25" hidden="false" customHeight="false" outlineLevel="0" collapsed="false">
      <c r="A352" s="20"/>
      <c r="B352" s="21"/>
      <c r="C352" s="21"/>
      <c r="D352" s="21"/>
      <c r="E352" s="21"/>
      <c r="F352" s="22" t="str">
        <f aca="false">IF(A352="","",SUM(B352:E352))</f>
        <v/>
      </c>
      <c r="G352" s="23" t="str">
        <f aca="false">IF(A352="","",B352*Premissas!$C$4+C352*Premissas!$C$7+D352*Premissas!$C$6+E352*Premissas!$C$5)</f>
        <v/>
      </c>
      <c r="H352" s="24" t="str">
        <f aca="false">IF(A352="","",DATE(YEAR(A352),MONTH(A352),1))</f>
        <v/>
      </c>
    </row>
    <row r="353" customFormat="false" ht="14.25" hidden="false" customHeight="false" outlineLevel="0" collapsed="false">
      <c r="A353" s="20"/>
      <c r="B353" s="21"/>
      <c r="C353" s="21"/>
      <c r="D353" s="21"/>
      <c r="E353" s="21"/>
      <c r="F353" s="22" t="str">
        <f aca="false">IF(A353="","",SUM(B353:E353))</f>
        <v/>
      </c>
      <c r="G353" s="23" t="str">
        <f aca="false">IF(A353="","",B353*Premissas!$C$4+C353*Premissas!$C$7+D353*Premissas!$C$6+E353*Premissas!$C$5)</f>
        <v/>
      </c>
      <c r="H353" s="24" t="str">
        <f aca="false">IF(A353="","",DATE(YEAR(A353),MONTH(A353),1))</f>
        <v/>
      </c>
    </row>
    <row r="354" customFormat="false" ht="14.25" hidden="false" customHeight="false" outlineLevel="0" collapsed="false">
      <c r="A354" s="20"/>
      <c r="B354" s="21"/>
      <c r="C354" s="21"/>
      <c r="D354" s="21"/>
      <c r="E354" s="21"/>
      <c r="F354" s="22" t="str">
        <f aca="false">IF(A354="","",SUM(B354:E354))</f>
        <v/>
      </c>
      <c r="G354" s="23" t="str">
        <f aca="false">IF(A354="","",B354*Premissas!$C$4+C354*Premissas!$C$7+D354*Premissas!$C$6+E354*Premissas!$C$5)</f>
        <v/>
      </c>
      <c r="H354" s="24" t="str">
        <f aca="false">IF(A354="","",DATE(YEAR(A354),MONTH(A354),1))</f>
        <v/>
      </c>
    </row>
    <row r="355" customFormat="false" ht="14.25" hidden="false" customHeight="false" outlineLevel="0" collapsed="false">
      <c r="A355" s="20"/>
      <c r="B355" s="21"/>
      <c r="C355" s="21"/>
      <c r="D355" s="21"/>
      <c r="E355" s="21"/>
      <c r="F355" s="22" t="str">
        <f aca="false">IF(A355="","",SUM(B355:E355))</f>
        <v/>
      </c>
      <c r="G355" s="23" t="str">
        <f aca="false">IF(A355="","",B355*Premissas!$C$4+C355*Premissas!$C$7+D355*Premissas!$C$6+E355*Premissas!$C$5)</f>
        <v/>
      </c>
      <c r="H355" s="24" t="str">
        <f aca="false">IF(A355="","",DATE(YEAR(A355),MONTH(A355),1))</f>
        <v/>
      </c>
    </row>
    <row r="356" customFormat="false" ht="14.25" hidden="false" customHeight="false" outlineLevel="0" collapsed="false">
      <c r="A356" s="20"/>
      <c r="B356" s="21"/>
      <c r="C356" s="21"/>
      <c r="D356" s="21"/>
      <c r="E356" s="21"/>
      <c r="F356" s="22" t="str">
        <f aca="false">IF(A356="","",SUM(B356:E356))</f>
        <v/>
      </c>
      <c r="G356" s="23" t="str">
        <f aca="false">IF(A356="","",B356*Premissas!$C$4+C356*Premissas!$C$7+D356*Premissas!$C$6+E356*Premissas!$C$5)</f>
        <v/>
      </c>
      <c r="H356" s="24" t="str">
        <f aca="false">IF(A356="","",DATE(YEAR(A356),MONTH(A356),1))</f>
        <v/>
      </c>
    </row>
    <row r="357" customFormat="false" ht="14.25" hidden="false" customHeight="false" outlineLevel="0" collapsed="false">
      <c r="A357" s="20"/>
      <c r="B357" s="21"/>
      <c r="C357" s="21"/>
      <c r="D357" s="21"/>
      <c r="E357" s="21"/>
      <c r="F357" s="22" t="str">
        <f aca="false">IF(A357="","",SUM(B357:E357))</f>
        <v/>
      </c>
      <c r="G357" s="23" t="str">
        <f aca="false">IF(A357="","",B357*Premissas!$C$4+C357*Premissas!$C$7+D357*Premissas!$C$6+E357*Premissas!$C$5)</f>
        <v/>
      </c>
      <c r="H357" s="24" t="str">
        <f aca="false">IF(A357="","",DATE(YEAR(A357),MONTH(A357),1))</f>
        <v/>
      </c>
    </row>
    <row r="358" customFormat="false" ht="14.25" hidden="false" customHeight="false" outlineLevel="0" collapsed="false">
      <c r="A358" s="20"/>
      <c r="B358" s="21"/>
      <c r="C358" s="21"/>
      <c r="D358" s="21"/>
      <c r="E358" s="21"/>
      <c r="F358" s="22" t="str">
        <f aca="false">IF(A358="","",SUM(B358:E358))</f>
        <v/>
      </c>
      <c r="G358" s="23" t="str">
        <f aca="false">IF(A358="","",B358*Premissas!$C$4+C358*Premissas!$C$7+D358*Premissas!$C$6+E358*Premissas!$C$5)</f>
        <v/>
      </c>
      <c r="H358" s="24" t="str">
        <f aca="false">IF(A358="","",DATE(YEAR(A358),MONTH(A358),1))</f>
        <v/>
      </c>
    </row>
    <row r="359" customFormat="false" ht="14.25" hidden="false" customHeight="false" outlineLevel="0" collapsed="false">
      <c r="A359" s="20"/>
      <c r="B359" s="21"/>
      <c r="C359" s="21"/>
      <c r="D359" s="21"/>
      <c r="E359" s="21"/>
      <c r="F359" s="22" t="str">
        <f aca="false">IF(A359="","",SUM(B359:E359))</f>
        <v/>
      </c>
      <c r="G359" s="23" t="str">
        <f aca="false">IF(A359="","",B359*Premissas!$C$4+C359*Premissas!$C$7+D359*Premissas!$C$6+E359*Premissas!$C$5)</f>
        <v/>
      </c>
      <c r="H359" s="24" t="str">
        <f aca="false">IF(A359="","",DATE(YEAR(A359),MONTH(A359),1))</f>
        <v/>
      </c>
    </row>
    <row r="360" customFormat="false" ht="14.25" hidden="false" customHeight="false" outlineLevel="0" collapsed="false">
      <c r="A360" s="20"/>
      <c r="B360" s="21"/>
      <c r="C360" s="21"/>
      <c r="D360" s="21"/>
      <c r="E360" s="21"/>
      <c r="F360" s="22" t="str">
        <f aca="false">IF(A360="","",SUM(B360:E360))</f>
        <v/>
      </c>
      <c r="G360" s="23" t="str">
        <f aca="false">IF(A360="","",B360*Premissas!$C$4+C360*Premissas!$C$7+D360*Premissas!$C$6+E360*Premissas!$C$5)</f>
        <v/>
      </c>
      <c r="H360" s="24" t="str">
        <f aca="false">IF(A360="","",DATE(YEAR(A360),MONTH(A360),1))</f>
        <v/>
      </c>
    </row>
    <row r="361" customFormat="false" ht="14.25" hidden="false" customHeight="false" outlineLevel="0" collapsed="false">
      <c r="A361" s="20"/>
      <c r="B361" s="21"/>
      <c r="C361" s="21"/>
      <c r="D361" s="21"/>
      <c r="E361" s="21"/>
      <c r="F361" s="22" t="str">
        <f aca="false">IF(A361="","",SUM(B361:E361))</f>
        <v/>
      </c>
      <c r="G361" s="23" t="str">
        <f aca="false">IF(A361="","",B361*Premissas!$C$4+C361*Premissas!$C$7+D361*Premissas!$C$6+E361*Premissas!$C$5)</f>
        <v/>
      </c>
      <c r="H361" s="24" t="str">
        <f aca="false">IF(A361="","",DATE(YEAR(A361),MONTH(A361),1))</f>
        <v/>
      </c>
    </row>
    <row r="362" customFormat="false" ht="14.25" hidden="false" customHeight="false" outlineLevel="0" collapsed="false">
      <c r="A362" s="20"/>
      <c r="B362" s="21"/>
      <c r="C362" s="21"/>
      <c r="D362" s="21"/>
      <c r="E362" s="21"/>
      <c r="F362" s="22" t="str">
        <f aca="false">IF(A362="","",SUM(B362:E362))</f>
        <v/>
      </c>
      <c r="G362" s="23" t="str">
        <f aca="false">IF(A362="","",B362*Premissas!$C$4+C362*Premissas!$C$7+D362*Premissas!$C$6+E362*Premissas!$C$5)</f>
        <v/>
      </c>
      <c r="H362" s="24" t="str">
        <f aca="false">IF(A362="","",DATE(YEAR(A362),MONTH(A362),1))</f>
        <v/>
      </c>
    </row>
    <row r="363" customFormat="false" ht="14.25" hidden="false" customHeight="false" outlineLevel="0" collapsed="false">
      <c r="A363" s="20"/>
      <c r="B363" s="21"/>
      <c r="C363" s="21"/>
      <c r="D363" s="21"/>
      <c r="E363" s="21"/>
      <c r="F363" s="22" t="str">
        <f aca="false">IF(A363="","",SUM(B363:E363))</f>
        <v/>
      </c>
      <c r="G363" s="23" t="str">
        <f aca="false">IF(A363="","",B363*Premissas!$C$4+C363*Premissas!$C$7+D363*Premissas!$C$6+E363*Premissas!$C$5)</f>
        <v/>
      </c>
      <c r="H363" s="24" t="str">
        <f aca="false">IF(A363="","",DATE(YEAR(A363),MONTH(A363),1))</f>
        <v/>
      </c>
    </row>
    <row r="364" customFormat="false" ht="14.25" hidden="false" customHeight="false" outlineLevel="0" collapsed="false">
      <c r="A364" s="20"/>
      <c r="B364" s="21"/>
      <c r="C364" s="21"/>
      <c r="D364" s="21"/>
      <c r="E364" s="21"/>
      <c r="F364" s="22" t="str">
        <f aca="false">IF(A364="","",SUM(B364:E364))</f>
        <v/>
      </c>
      <c r="G364" s="23" t="str">
        <f aca="false">IF(A364="","",B364*Premissas!$C$4+C364*Premissas!$C$7+D364*Premissas!$C$6+E364*Premissas!$C$5)</f>
        <v/>
      </c>
      <c r="H364" s="24" t="str">
        <f aca="false">IF(A364="","",DATE(YEAR(A364),MONTH(A364),1))</f>
        <v/>
      </c>
    </row>
    <row r="365" customFormat="false" ht="14.25" hidden="false" customHeight="false" outlineLevel="0" collapsed="false">
      <c r="A365" s="20"/>
      <c r="B365" s="21"/>
      <c r="C365" s="21"/>
      <c r="D365" s="21"/>
      <c r="E365" s="21"/>
      <c r="F365" s="22" t="str">
        <f aca="false">IF(A365="","",SUM(B365:E365))</f>
        <v/>
      </c>
      <c r="G365" s="23" t="str">
        <f aca="false">IF(A365="","",B365*Premissas!$C$4+C365*Premissas!$C$7+D365*Premissas!$C$6+E365*Premissas!$C$5)</f>
        <v/>
      </c>
      <c r="H365" s="24" t="str">
        <f aca="false">IF(A365="","",DATE(YEAR(A365),MONTH(A365),1))</f>
        <v/>
      </c>
    </row>
    <row r="366" customFormat="false" ht="14.25" hidden="false" customHeight="false" outlineLevel="0" collapsed="false">
      <c r="A366" s="20"/>
      <c r="B366" s="21"/>
      <c r="C366" s="21"/>
      <c r="D366" s="21"/>
      <c r="E366" s="21"/>
      <c r="F366" s="22" t="str">
        <f aca="false">IF(A366="","",SUM(B366:E366))</f>
        <v/>
      </c>
      <c r="G366" s="23" t="str">
        <f aca="false">IF(A366="","",B366*Premissas!$C$4+C366*Premissas!$C$7+D366*Premissas!$C$6+E366*Premissas!$C$5)</f>
        <v/>
      </c>
      <c r="H366" s="24" t="str">
        <f aca="false">IF(A366="","",DATE(YEAR(A366),MONTH(A366),1))</f>
        <v/>
      </c>
    </row>
    <row r="367" customFormat="false" ht="14.25" hidden="false" customHeight="false" outlineLevel="0" collapsed="false">
      <c r="A367" s="20"/>
      <c r="B367" s="21"/>
      <c r="C367" s="21"/>
      <c r="D367" s="21"/>
      <c r="E367" s="21"/>
      <c r="F367" s="22" t="str">
        <f aca="false">IF(A367="","",SUM(B367:E367))</f>
        <v/>
      </c>
      <c r="G367" s="23" t="str">
        <f aca="false">IF(A367="","",B367*Premissas!$C$4+C367*Premissas!$C$7+D367*Premissas!$C$6+E367*Premissas!$C$5)</f>
        <v/>
      </c>
      <c r="H367" s="24" t="str">
        <f aca="false">IF(A367="","",DATE(YEAR(A367),MONTH(A367),1))</f>
        <v/>
      </c>
    </row>
    <row r="368" customFormat="false" ht="14.25" hidden="false" customHeight="false" outlineLevel="0" collapsed="false">
      <c r="A368" s="20"/>
      <c r="B368" s="21"/>
      <c r="C368" s="21"/>
      <c r="D368" s="21"/>
      <c r="E368" s="21"/>
      <c r="F368" s="22" t="str">
        <f aca="false">IF(A368="","",SUM(B368:E368))</f>
        <v/>
      </c>
      <c r="G368" s="23" t="str">
        <f aca="false">IF(A368="","",B368*Premissas!$C$4+C368*Premissas!$C$7+D368*Premissas!$C$6+E368*Premissas!$C$5)</f>
        <v/>
      </c>
      <c r="H368" s="24" t="str">
        <f aca="false">IF(A368="","",DATE(YEAR(A368),MONTH(A368),1))</f>
        <v/>
      </c>
    </row>
    <row r="369" customFormat="false" ht="14.25" hidden="false" customHeight="false" outlineLevel="0" collapsed="false">
      <c r="A369" s="20"/>
      <c r="B369" s="21"/>
      <c r="C369" s="21"/>
      <c r="D369" s="21"/>
      <c r="E369" s="21"/>
      <c r="F369" s="22" t="str">
        <f aca="false">IF(A369="","",SUM(B369:E369))</f>
        <v/>
      </c>
      <c r="G369" s="23" t="str">
        <f aca="false">IF(A369="","",B369*Premissas!$C$4+C369*Premissas!$C$7+D369*Premissas!$C$6+E369*Premissas!$C$5)</f>
        <v/>
      </c>
      <c r="H369" s="24" t="str">
        <f aca="false">IF(A369="","",DATE(YEAR(A369),MONTH(A369),1))</f>
        <v/>
      </c>
    </row>
    <row r="370" customFormat="false" ht="14.25" hidden="false" customHeight="false" outlineLevel="0" collapsed="false">
      <c r="A370" s="20"/>
      <c r="B370" s="21"/>
      <c r="C370" s="21"/>
      <c r="D370" s="21"/>
      <c r="E370" s="21"/>
      <c r="F370" s="22" t="str">
        <f aca="false">IF(A370="","",SUM(B370:E370))</f>
        <v/>
      </c>
      <c r="G370" s="23" t="str">
        <f aca="false">IF(A370="","",B370*Premissas!$C$4+C370*Premissas!$C$7+D370*Premissas!$C$6+E370*Premissas!$C$5)</f>
        <v/>
      </c>
      <c r="H370" s="24" t="str">
        <f aca="false">IF(A370="","",DATE(YEAR(A370),MONTH(A370),1))</f>
        <v/>
      </c>
    </row>
    <row r="371" customFormat="false" ht="14.25" hidden="false" customHeight="false" outlineLevel="0" collapsed="false">
      <c r="A371" s="20"/>
      <c r="B371" s="21"/>
      <c r="C371" s="21"/>
      <c r="D371" s="21"/>
      <c r="E371" s="21"/>
      <c r="F371" s="22" t="str">
        <f aca="false">IF(A371="","",SUM(B371:E371))</f>
        <v/>
      </c>
      <c r="G371" s="23" t="str">
        <f aca="false">IF(A371="","",B371*Premissas!$C$4+C371*Premissas!$C$7+D371*Premissas!$C$6+E371*Premissas!$C$5)</f>
        <v/>
      </c>
      <c r="H371" s="24" t="str">
        <f aca="false">IF(A371="","",DATE(YEAR(A371),MONTH(A371),1))</f>
        <v/>
      </c>
    </row>
    <row r="372" customFormat="false" ht="14.25" hidden="false" customHeight="false" outlineLevel="0" collapsed="false">
      <c r="A372" s="20"/>
      <c r="B372" s="21"/>
      <c r="C372" s="21"/>
      <c r="D372" s="21"/>
      <c r="E372" s="21"/>
      <c r="F372" s="22" t="str">
        <f aca="false">IF(A372="","",SUM(B372:E372))</f>
        <v/>
      </c>
      <c r="G372" s="23" t="str">
        <f aca="false">IF(A372="","",B372*Premissas!$C$4+C372*Premissas!$C$7+D372*Premissas!$C$6+E372*Premissas!$C$5)</f>
        <v/>
      </c>
      <c r="H372" s="24" t="str">
        <f aca="false">IF(A372="","",DATE(YEAR(A372),MONTH(A372),1))</f>
        <v/>
      </c>
    </row>
    <row r="373" customFormat="false" ht="14.25" hidden="false" customHeight="false" outlineLevel="0" collapsed="false">
      <c r="A373" s="20"/>
      <c r="B373" s="21"/>
      <c r="C373" s="21"/>
      <c r="D373" s="21"/>
      <c r="E373" s="21"/>
      <c r="F373" s="22" t="str">
        <f aca="false">IF(A373="","",SUM(B373:E373))</f>
        <v/>
      </c>
      <c r="G373" s="23" t="str">
        <f aca="false">IF(A373="","",B373*Premissas!$C$4+C373*Premissas!$C$7+D373*Premissas!$C$6+E373*Premissas!$C$5)</f>
        <v/>
      </c>
      <c r="H373" s="24" t="str">
        <f aca="false">IF(A373="","",DATE(YEAR(A373),MONTH(A373),1))</f>
        <v/>
      </c>
    </row>
    <row r="374" customFormat="false" ht="14.25" hidden="false" customHeight="false" outlineLevel="0" collapsed="false">
      <c r="A374" s="20"/>
      <c r="B374" s="21"/>
      <c r="C374" s="21"/>
      <c r="D374" s="21"/>
      <c r="E374" s="21"/>
      <c r="F374" s="22" t="str">
        <f aca="false">IF(A374="","",SUM(B374:E374))</f>
        <v/>
      </c>
      <c r="G374" s="23" t="str">
        <f aca="false">IF(A374="","",B374*Premissas!$C$4+C374*Premissas!$C$7+D374*Premissas!$C$6+E374*Premissas!$C$5)</f>
        <v/>
      </c>
      <c r="H374" s="24" t="str">
        <f aca="false">IF(A374="","",DATE(YEAR(A374),MONTH(A374),1))</f>
        <v/>
      </c>
    </row>
    <row r="375" customFormat="false" ht="14.25" hidden="false" customHeight="false" outlineLevel="0" collapsed="false">
      <c r="A375" s="20"/>
      <c r="B375" s="21"/>
      <c r="C375" s="21"/>
      <c r="D375" s="21"/>
      <c r="E375" s="21"/>
      <c r="F375" s="22" t="str">
        <f aca="false">IF(A375="","",SUM(B375:E375))</f>
        <v/>
      </c>
      <c r="G375" s="23" t="str">
        <f aca="false">IF(A375="","",B375*Premissas!$C$4+C375*Premissas!$C$7+D375*Premissas!$C$6+E375*Premissas!$C$5)</f>
        <v/>
      </c>
      <c r="H375" s="24" t="str">
        <f aca="false">IF(A375="","",DATE(YEAR(A375),MONTH(A375),1))</f>
        <v/>
      </c>
    </row>
    <row r="376" customFormat="false" ht="14.25" hidden="false" customHeight="false" outlineLevel="0" collapsed="false">
      <c r="A376" s="20"/>
      <c r="B376" s="21"/>
      <c r="C376" s="21"/>
      <c r="D376" s="21"/>
      <c r="E376" s="21"/>
      <c r="F376" s="22" t="str">
        <f aca="false">IF(A376="","",SUM(B376:E376))</f>
        <v/>
      </c>
      <c r="G376" s="23" t="str">
        <f aca="false">IF(A376="","",B376*Premissas!$C$4+C376*Premissas!$C$7+D376*Premissas!$C$6+E376*Premissas!$C$5)</f>
        <v/>
      </c>
      <c r="H376" s="24" t="str">
        <f aca="false">IF(A376="","",DATE(YEAR(A376),MONTH(A376),1))</f>
        <v/>
      </c>
    </row>
    <row r="377" customFormat="false" ht="14.25" hidden="false" customHeight="false" outlineLevel="0" collapsed="false">
      <c r="A377" s="20"/>
      <c r="B377" s="21"/>
      <c r="C377" s="21"/>
      <c r="D377" s="21"/>
      <c r="E377" s="21"/>
      <c r="F377" s="22" t="str">
        <f aca="false">IF(A377="","",SUM(B377:E377))</f>
        <v/>
      </c>
      <c r="G377" s="23" t="str">
        <f aca="false">IF(A377="","",B377*Premissas!$C$4+C377*Premissas!$C$7+D377*Premissas!$C$6+E377*Premissas!$C$5)</f>
        <v/>
      </c>
      <c r="H377" s="24" t="str">
        <f aca="false">IF(A377="","",DATE(YEAR(A377),MONTH(A377),1))</f>
        <v/>
      </c>
    </row>
    <row r="378" customFormat="false" ht="14.25" hidden="false" customHeight="false" outlineLevel="0" collapsed="false">
      <c r="A378" s="20"/>
      <c r="B378" s="21"/>
      <c r="C378" s="21"/>
      <c r="D378" s="21"/>
      <c r="E378" s="21"/>
      <c r="F378" s="22" t="str">
        <f aca="false">IF(A378="","",SUM(B378:E378))</f>
        <v/>
      </c>
      <c r="G378" s="23" t="str">
        <f aca="false">IF(A378="","",B378*Premissas!$C$4+C378*Premissas!$C$7+D378*Premissas!$C$6+E378*Premissas!$C$5)</f>
        <v/>
      </c>
      <c r="H378" s="24" t="str">
        <f aca="false">IF(A378="","",DATE(YEAR(A378),MONTH(A378),1))</f>
        <v/>
      </c>
    </row>
    <row r="379" customFormat="false" ht="14.25" hidden="false" customHeight="false" outlineLevel="0" collapsed="false">
      <c r="A379" s="20"/>
      <c r="B379" s="21"/>
      <c r="C379" s="21"/>
      <c r="D379" s="21"/>
      <c r="E379" s="21"/>
      <c r="F379" s="22" t="str">
        <f aca="false">IF(A379="","",SUM(B379:E379))</f>
        <v/>
      </c>
      <c r="G379" s="23" t="str">
        <f aca="false">IF(A379="","",B379*Premissas!$C$4+C379*Premissas!$C$7+D379*Premissas!$C$6+E379*Premissas!$C$5)</f>
        <v/>
      </c>
      <c r="H379" s="24" t="str">
        <f aca="false">IF(A379="","",DATE(YEAR(A379),MONTH(A379),1))</f>
        <v/>
      </c>
    </row>
    <row r="380" customFormat="false" ht="14.25" hidden="false" customHeight="false" outlineLevel="0" collapsed="false">
      <c r="A380" s="20"/>
      <c r="B380" s="21"/>
      <c r="C380" s="21"/>
      <c r="D380" s="21"/>
      <c r="E380" s="21"/>
      <c r="F380" s="22" t="str">
        <f aca="false">IF(A380="","",SUM(B380:E380))</f>
        <v/>
      </c>
      <c r="G380" s="23" t="str">
        <f aca="false">IF(A380="","",B380*Premissas!$C$4+C380*Premissas!$C$7+D380*Premissas!$C$6+E380*Premissas!$C$5)</f>
        <v/>
      </c>
      <c r="H380" s="24" t="str">
        <f aca="false">IF(A380="","",DATE(YEAR(A380),MONTH(A380),1))</f>
        <v/>
      </c>
    </row>
    <row r="381" customFormat="false" ht="14.25" hidden="false" customHeight="false" outlineLevel="0" collapsed="false">
      <c r="A381" s="20"/>
      <c r="B381" s="21"/>
      <c r="C381" s="21"/>
      <c r="D381" s="21"/>
      <c r="E381" s="21"/>
      <c r="F381" s="22" t="str">
        <f aca="false">IF(A381="","",SUM(B381:E381))</f>
        <v/>
      </c>
      <c r="G381" s="23" t="str">
        <f aca="false">IF(A381="","",B381*Premissas!$C$4+C381*Premissas!$C$7+D381*Premissas!$C$6+E381*Premissas!$C$5)</f>
        <v/>
      </c>
      <c r="H381" s="24" t="str">
        <f aca="false">IF(A381="","",DATE(YEAR(A381),MONTH(A381),1))</f>
        <v/>
      </c>
    </row>
    <row r="382" customFormat="false" ht="14.25" hidden="false" customHeight="false" outlineLevel="0" collapsed="false">
      <c r="A382" s="20"/>
      <c r="B382" s="21"/>
      <c r="C382" s="21"/>
      <c r="D382" s="21"/>
      <c r="E382" s="21"/>
      <c r="F382" s="22" t="str">
        <f aca="false">IF(A382="","",SUM(B382:E382))</f>
        <v/>
      </c>
      <c r="G382" s="23" t="str">
        <f aca="false">IF(A382="","",B382*Premissas!$C$4+C382*Premissas!$C$7+D382*Premissas!$C$6+E382*Premissas!$C$5)</f>
        <v/>
      </c>
      <c r="H382" s="24" t="str">
        <f aca="false">IF(A382="","",DATE(YEAR(A382),MONTH(A382),1))</f>
        <v/>
      </c>
    </row>
    <row r="383" customFormat="false" ht="14.25" hidden="false" customHeight="false" outlineLevel="0" collapsed="false">
      <c r="A383" s="20"/>
      <c r="B383" s="21"/>
      <c r="C383" s="21"/>
      <c r="D383" s="21"/>
      <c r="E383" s="21"/>
      <c r="F383" s="22" t="str">
        <f aca="false">IF(A383="","",SUM(B383:E383))</f>
        <v/>
      </c>
      <c r="G383" s="23" t="str">
        <f aca="false">IF(A383="","",B383*Premissas!$C$4+C383*Premissas!$C$7+D383*Premissas!$C$6+E383*Premissas!$C$5)</f>
        <v/>
      </c>
      <c r="H383" s="24" t="str">
        <f aca="false">IF(A383="","",DATE(YEAR(A383),MONTH(A383),1))</f>
        <v/>
      </c>
    </row>
    <row r="384" customFormat="false" ht="14.25" hidden="false" customHeight="false" outlineLevel="0" collapsed="false">
      <c r="A384" s="20"/>
      <c r="B384" s="21"/>
      <c r="C384" s="21"/>
      <c r="D384" s="21"/>
      <c r="E384" s="21"/>
      <c r="F384" s="22" t="str">
        <f aca="false">IF(A384="","",SUM(B384:E384))</f>
        <v/>
      </c>
      <c r="G384" s="23" t="str">
        <f aca="false">IF(A384="","",B384*Premissas!$C$4+C384*Premissas!$C$7+D384*Premissas!$C$6+E384*Premissas!$C$5)</f>
        <v/>
      </c>
      <c r="H384" s="24" t="str">
        <f aca="false">IF(A384="","",DATE(YEAR(A384),MONTH(A384),1))</f>
        <v/>
      </c>
    </row>
    <row r="385" customFormat="false" ht="14.25" hidden="false" customHeight="false" outlineLevel="0" collapsed="false">
      <c r="A385" s="20"/>
      <c r="B385" s="21"/>
      <c r="C385" s="21"/>
      <c r="D385" s="21"/>
      <c r="E385" s="21"/>
      <c r="F385" s="22" t="str">
        <f aca="false">IF(A385="","",SUM(B385:E385))</f>
        <v/>
      </c>
      <c r="G385" s="23" t="str">
        <f aca="false">IF(A385="","",B385*Premissas!$C$4+C385*Premissas!$C$7+D385*Premissas!$C$6+E385*Premissas!$C$5)</f>
        <v/>
      </c>
      <c r="H385" s="24" t="str">
        <f aca="false">IF(A385="","",DATE(YEAR(A385),MONTH(A385),1))</f>
        <v/>
      </c>
    </row>
    <row r="386" customFormat="false" ht="14.25" hidden="false" customHeight="false" outlineLevel="0" collapsed="false">
      <c r="A386" s="20"/>
      <c r="B386" s="21"/>
      <c r="C386" s="21"/>
      <c r="D386" s="21"/>
      <c r="E386" s="21"/>
      <c r="F386" s="22" t="str">
        <f aca="false">IF(A386="","",SUM(B386:E386))</f>
        <v/>
      </c>
      <c r="G386" s="23" t="str">
        <f aca="false">IF(A386="","",B386*Premissas!$C$4+C386*Premissas!$C$7+D386*Premissas!$C$6+E386*Premissas!$C$5)</f>
        <v/>
      </c>
      <c r="H386" s="24" t="str">
        <f aca="false">IF(A386="","",DATE(YEAR(A386),MONTH(A386),1))</f>
        <v/>
      </c>
    </row>
    <row r="387" customFormat="false" ht="14.25" hidden="false" customHeight="false" outlineLevel="0" collapsed="false">
      <c r="A387" s="20"/>
      <c r="B387" s="21"/>
      <c r="C387" s="21"/>
      <c r="D387" s="21"/>
      <c r="E387" s="21"/>
      <c r="F387" s="22" t="str">
        <f aca="false">IF(A387="","",SUM(B387:E387))</f>
        <v/>
      </c>
      <c r="G387" s="23" t="str">
        <f aca="false">IF(A387="","",B387*Premissas!$C$4+C387*Premissas!$C$7+D387*Premissas!$C$6+E387*Premissas!$C$5)</f>
        <v/>
      </c>
      <c r="H387" s="24" t="str">
        <f aca="false">IF(A387="","",DATE(YEAR(A387),MONTH(A387),1))</f>
        <v/>
      </c>
    </row>
    <row r="388" customFormat="false" ht="14.25" hidden="false" customHeight="false" outlineLevel="0" collapsed="false">
      <c r="A388" s="20"/>
      <c r="B388" s="21"/>
      <c r="C388" s="21"/>
      <c r="D388" s="21"/>
      <c r="E388" s="21"/>
      <c r="F388" s="22" t="str">
        <f aca="false">IF(A388="","",SUM(B388:E388))</f>
        <v/>
      </c>
      <c r="G388" s="23" t="str">
        <f aca="false">IF(A388="","",B388*Premissas!$C$4+C388*Premissas!$C$7+D388*Premissas!$C$6+E388*Premissas!$C$5)</f>
        <v/>
      </c>
      <c r="H388" s="24" t="str">
        <f aca="false">IF(A388="","",DATE(YEAR(A388),MONTH(A388),1))</f>
        <v/>
      </c>
    </row>
    <row r="389" customFormat="false" ht="14.25" hidden="false" customHeight="false" outlineLevel="0" collapsed="false">
      <c r="A389" s="20"/>
      <c r="B389" s="21"/>
      <c r="C389" s="21"/>
      <c r="D389" s="21"/>
      <c r="E389" s="21"/>
      <c r="F389" s="22" t="str">
        <f aca="false">IF(A389="","",SUM(B389:E389))</f>
        <v/>
      </c>
      <c r="G389" s="23" t="str">
        <f aca="false">IF(A389="","",B389*Premissas!$C$4+C389*Premissas!$C$7+D389*Premissas!$C$6+E389*Premissas!$C$5)</f>
        <v/>
      </c>
      <c r="H389" s="24" t="str">
        <f aca="false">IF(A389="","",DATE(YEAR(A389),MONTH(A389),1))</f>
        <v/>
      </c>
    </row>
    <row r="390" customFormat="false" ht="14.25" hidden="false" customHeight="false" outlineLevel="0" collapsed="false">
      <c r="A390" s="20"/>
      <c r="B390" s="21"/>
      <c r="C390" s="21"/>
      <c r="D390" s="21"/>
      <c r="E390" s="21"/>
      <c r="F390" s="22" t="str">
        <f aca="false">IF(A390="","",SUM(B390:E390))</f>
        <v/>
      </c>
      <c r="G390" s="23" t="str">
        <f aca="false">IF(A390="","",B390*Premissas!$C$4+C390*Premissas!$C$7+D390*Premissas!$C$6+E390*Premissas!$C$5)</f>
        <v/>
      </c>
      <c r="H390" s="24" t="str">
        <f aca="false">IF(A390="","",DATE(YEAR(A390),MONTH(A390),1))</f>
        <v/>
      </c>
    </row>
    <row r="391" customFormat="false" ht="14.25" hidden="false" customHeight="false" outlineLevel="0" collapsed="false">
      <c r="A391" s="20"/>
      <c r="B391" s="21"/>
      <c r="C391" s="21"/>
      <c r="D391" s="21"/>
      <c r="E391" s="21"/>
      <c r="F391" s="22" t="str">
        <f aca="false">IF(A391="","",SUM(B391:E391))</f>
        <v/>
      </c>
      <c r="G391" s="23" t="str">
        <f aca="false">IF(A391="","",B391*Premissas!$C$4+C391*Premissas!$C$7+D391*Premissas!$C$6+E391*Premissas!$C$5)</f>
        <v/>
      </c>
      <c r="H391" s="24" t="str">
        <f aca="false">IF(A391="","",DATE(YEAR(A391),MONTH(A391),1))</f>
        <v/>
      </c>
    </row>
    <row r="392" customFormat="false" ht="14.25" hidden="false" customHeight="false" outlineLevel="0" collapsed="false">
      <c r="A392" s="20"/>
      <c r="B392" s="21"/>
      <c r="C392" s="21"/>
      <c r="D392" s="21"/>
      <c r="E392" s="21"/>
      <c r="F392" s="22" t="str">
        <f aca="false">IF(A392="","",SUM(B392:E392))</f>
        <v/>
      </c>
      <c r="G392" s="23" t="str">
        <f aca="false">IF(A392="","",B392*Premissas!$C$4+C392*Premissas!$C$7+D392*Premissas!$C$6+E392*Premissas!$C$5)</f>
        <v/>
      </c>
      <c r="H392" s="24" t="str">
        <f aca="false">IF(A392="","",DATE(YEAR(A392),MONTH(A392),1))</f>
        <v/>
      </c>
    </row>
    <row r="393" customFormat="false" ht="14.25" hidden="false" customHeight="false" outlineLevel="0" collapsed="false">
      <c r="A393" s="20"/>
      <c r="B393" s="21"/>
      <c r="C393" s="21"/>
      <c r="D393" s="21"/>
      <c r="E393" s="21"/>
      <c r="F393" s="22" t="str">
        <f aca="false">IF(A393="","",SUM(B393:E393))</f>
        <v/>
      </c>
      <c r="G393" s="23" t="str">
        <f aca="false">IF(A393="","",B393*Premissas!$C$4+C393*Premissas!$C$7+D393*Premissas!$C$6+E393*Premissas!$C$5)</f>
        <v/>
      </c>
      <c r="H393" s="24" t="str">
        <f aca="false">IF(A393="","",DATE(YEAR(A393),MONTH(A393),1))</f>
        <v/>
      </c>
    </row>
    <row r="394" customFormat="false" ht="14.25" hidden="false" customHeight="false" outlineLevel="0" collapsed="false">
      <c r="A394" s="20"/>
      <c r="B394" s="21"/>
      <c r="C394" s="21"/>
      <c r="D394" s="21"/>
      <c r="E394" s="21"/>
      <c r="F394" s="22" t="str">
        <f aca="false">IF(A394="","",SUM(B394:E394))</f>
        <v/>
      </c>
      <c r="G394" s="23" t="str">
        <f aca="false">IF(A394="","",B394*Premissas!$C$4+C394*Premissas!$C$7+D394*Premissas!$C$6+E394*Premissas!$C$5)</f>
        <v/>
      </c>
      <c r="H394" s="24" t="str">
        <f aca="false">IF(A394="","",DATE(YEAR(A394),MONTH(A394),1))</f>
        <v/>
      </c>
    </row>
    <row r="395" customFormat="false" ht="14.25" hidden="false" customHeight="false" outlineLevel="0" collapsed="false">
      <c r="A395" s="20"/>
      <c r="B395" s="21"/>
      <c r="C395" s="21"/>
      <c r="D395" s="21"/>
      <c r="E395" s="21"/>
      <c r="F395" s="22" t="str">
        <f aca="false">IF(A395="","",SUM(B395:E395))</f>
        <v/>
      </c>
      <c r="G395" s="23" t="str">
        <f aca="false">IF(A395="","",B395*Premissas!$C$4+C395*Premissas!$C$7+D395*Premissas!$C$6+E395*Premissas!$C$5)</f>
        <v/>
      </c>
      <c r="H395" s="24" t="str">
        <f aca="false">IF(A395="","",DATE(YEAR(A395),MONTH(A395),1))</f>
        <v/>
      </c>
    </row>
    <row r="396" customFormat="false" ht="14.25" hidden="false" customHeight="false" outlineLevel="0" collapsed="false">
      <c r="A396" s="20"/>
      <c r="B396" s="21"/>
      <c r="C396" s="21"/>
      <c r="D396" s="21"/>
      <c r="E396" s="21"/>
      <c r="F396" s="22" t="str">
        <f aca="false">IF(A396="","",SUM(B396:E396))</f>
        <v/>
      </c>
      <c r="G396" s="23" t="str">
        <f aca="false">IF(A396="","",B396*Premissas!$C$4+C396*Premissas!$C$7+D396*Premissas!$C$6+E396*Premissas!$C$5)</f>
        <v/>
      </c>
      <c r="H396" s="24" t="str">
        <f aca="false">IF(A396="","",DATE(YEAR(A396),MONTH(A396),1))</f>
        <v/>
      </c>
    </row>
    <row r="397" customFormat="false" ht="14.25" hidden="false" customHeight="false" outlineLevel="0" collapsed="false">
      <c r="A397" s="20"/>
      <c r="B397" s="21"/>
      <c r="C397" s="21"/>
      <c r="D397" s="21"/>
      <c r="E397" s="21"/>
      <c r="F397" s="22" t="str">
        <f aca="false">IF(A397="","",SUM(B397:E397))</f>
        <v/>
      </c>
      <c r="G397" s="23" t="str">
        <f aca="false">IF(A397="","",B397*Premissas!$C$4+C397*Premissas!$C$7+D397*Premissas!$C$6+E397*Premissas!$C$5)</f>
        <v/>
      </c>
      <c r="H397" s="24" t="str">
        <f aca="false">IF(A397="","",DATE(YEAR(A397),MONTH(A397),1))</f>
        <v/>
      </c>
    </row>
    <row r="398" customFormat="false" ht="14.25" hidden="false" customHeight="false" outlineLevel="0" collapsed="false">
      <c r="A398" s="20"/>
      <c r="B398" s="21"/>
      <c r="C398" s="21"/>
      <c r="D398" s="21"/>
      <c r="E398" s="21"/>
      <c r="F398" s="22" t="str">
        <f aca="false">IF(A398="","",SUM(B398:E398))</f>
        <v/>
      </c>
      <c r="G398" s="23" t="str">
        <f aca="false">IF(A398="","",B398*Premissas!$C$4+C398*Premissas!$C$7+D398*Premissas!$C$6+E398*Premissas!$C$5)</f>
        <v/>
      </c>
      <c r="H398" s="24" t="str">
        <f aca="false">IF(A398="","",DATE(YEAR(A398),MONTH(A398),1))</f>
        <v/>
      </c>
    </row>
    <row r="399" customFormat="false" ht="14.25" hidden="false" customHeight="false" outlineLevel="0" collapsed="false">
      <c r="A399" s="20"/>
      <c r="B399" s="21"/>
      <c r="C399" s="21"/>
      <c r="D399" s="21"/>
      <c r="E399" s="21"/>
      <c r="F399" s="22" t="str">
        <f aca="false">IF(A399="","",SUM(B399:E399))</f>
        <v/>
      </c>
      <c r="G399" s="23" t="str">
        <f aca="false">IF(A399="","",B399*Premissas!$C$4+C399*Premissas!$C$7+D399*Premissas!$C$6+E399*Premissas!$C$5)</f>
        <v/>
      </c>
      <c r="H399" s="24" t="str">
        <f aca="false">IF(A399="","",DATE(YEAR(A399),MONTH(A399),1))</f>
        <v/>
      </c>
    </row>
    <row r="400" customFormat="false" ht="14.25" hidden="false" customHeight="false" outlineLevel="0" collapsed="false">
      <c r="A400" s="20"/>
      <c r="B400" s="21"/>
      <c r="C400" s="21"/>
      <c r="D400" s="21"/>
      <c r="E400" s="21"/>
      <c r="F400" s="22" t="str">
        <f aca="false">IF(A400="","",SUM(B400:E400))</f>
        <v/>
      </c>
      <c r="G400" s="23" t="str">
        <f aca="false">IF(A400="","",B400*Premissas!$C$4+C400*Premissas!$C$7+D400*Premissas!$C$6+E400*Premissas!$C$5)</f>
        <v/>
      </c>
      <c r="H400" s="24" t="str">
        <f aca="false">IF(A400="","",DATE(YEAR(A400),MONTH(A400),1))</f>
        <v/>
      </c>
    </row>
  </sheetData>
  <mergeCells count="1">
    <mergeCell ref="A1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5" activeCellId="0" sqref="A5"/>
    </sheetView>
  </sheetViews>
  <sheetFormatPr defaultColWidth="8.6328125" defaultRowHeight="14.2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5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9" min="8" style="0" width="16"/>
    <col collapsed="false" customWidth="true" hidden="false" outlineLevel="0" max="11" min="10" style="0" width="18"/>
    <col collapsed="false" customWidth="true" hidden="false" outlineLevel="0" max="12" min="12" style="0" width="20"/>
  </cols>
  <sheetData>
    <row r="1" customFormat="false" ht="18" hidden="false" customHeight="true" outlineLevel="0" collapsed="false">
      <c r="A1" s="26" t="s">
        <v>26</v>
      </c>
      <c r="B1" s="26"/>
      <c r="C1" s="26"/>
      <c r="D1" s="26"/>
    </row>
    <row r="2" customFormat="false" ht="14.25" hidden="false" customHeight="false" outlineLevel="0" collapsed="false">
      <c r="A2" s="27" t="s">
        <v>27</v>
      </c>
    </row>
    <row r="4" customFormat="false" ht="31.5" hidden="false" customHeight="true" outlineLevel="0" collapsed="false">
      <c r="A4" s="19" t="s">
        <v>28</v>
      </c>
      <c r="B4" s="19" t="s">
        <v>29</v>
      </c>
      <c r="C4" s="19" t="s">
        <v>30</v>
      </c>
      <c r="D4" s="19" t="s">
        <v>3</v>
      </c>
      <c r="E4" s="19" t="s">
        <v>4</v>
      </c>
      <c r="F4" s="19" t="s">
        <v>5</v>
      </c>
      <c r="G4" s="19" t="s">
        <v>6</v>
      </c>
      <c r="H4" s="19" t="s">
        <v>22</v>
      </c>
      <c r="I4" s="19" t="s">
        <v>23</v>
      </c>
      <c r="J4" s="19" t="s">
        <v>31</v>
      </c>
      <c r="K4" s="19" t="s">
        <v>32</v>
      </c>
      <c r="L4" s="19" t="s">
        <v>33</v>
      </c>
    </row>
    <row r="5" customFormat="false" ht="14.25" hidden="false" customHeight="false" outlineLevel="0" collapsed="false">
      <c r="A5" s="28" t="n">
        <f aca="false">IF(COUNT(Diário!$A$5:$A$400)=0,"",Premissas!$C$9)</f>
        <v>46296</v>
      </c>
      <c r="B5" s="28" t="n">
        <f aca="false">IF(A5="","",Premissas!$C$10)</f>
        <v>46301</v>
      </c>
      <c r="C5" s="13" t="n">
        <f aca="false">IF(A5="","",COUNTIFS(Diário!$A$5:$A$400,"&gt;="&amp;$A5,Diário!$A$5:$A$400,"&lt;="&amp;$B5))</f>
        <v>6</v>
      </c>
      <c r="D5" s="13" t="n">
        <f aca="false">IF($A5="","",SUMIFS(Diário!$B$5:$B$400,Diário!$A$5:$A$400,"&gt;="&amp;$A5,Diário!$A$5:$A$400,"&lt;="&amp;$B5))</f>
        <v>82342</v>
      </c>
      <c r="E5" s="13" t="n">
        <f aca="false">IF($A5="","",SUMIFS(Diário!$E$5:$E$400,Diário!$A$5:$A$400,"&gt;="&amp;$A5,Diário!$A$5:$A$400,"&lt;="&amp;$B5))</f>
        <v>9339</v>
      </c>
      <c r="F5" s="13" t="n">
        <f aca="false">IF($A5="","",SUMIFS(Diário!$D$5:$D$400,Diário!$A$5:$A$400,"&gt;="&amp;$A5,Diário!$A$5:$A$400,"&lt;="&amp;$B5))</f>
        <v>0</v>
      </c>
      <c r="G5" s="13" t="n">
        <f aca="false">IF($A5="","",SUMIFS(Diário!$C$5:$C$400,Diário!$A$5:$A$400,"&gt;="&amp;$A5,Diário!$A$5:$A$400,"&lt;="&amp;$B5))</f>
        <v>0</v>
      </c>
      <c r="H5" s="13" t="n">
        <f aca="false">IF(A5="","",SUM(D5:G5))</f>
        <v>91681</v>
      </c>
      <c r="I5" s="29" t="n">
        <f aca="false">IF($A5="","",SUMIFS(Diário!$G$5:$G$400,Diário!$A$5:$A$400,"&gt;="&amp;$A5,Diário!$A$5:$A$400,"&lt;="&amp;$B5))</f>
        <v>12453.84</v>
      </c>
      <c r="J5" s="30" t="n">
        <f aca="false">IF(A5="","",IF(H5=0,0,I5/H5))</f>
        <v>0.135838832473468</v>
      </c>
      <c r="K5" s="14" t="n">
        <f aca="false">IF(A5="","",IF(I5=0,0,E5*Premissas!$C$5/I5))</f>
        <v>0.404940163034052</v>
      </c>
      <c r="L5" s="31" t="str">
        <f aca="false">IF(A5="","","n/d")</f>
        <v>n/d</v>
      </c>
    </row>
    <row r="6" customFormat="false" ht="14.25" hidden="false" customHeight="false" outlineLevel="0" collapsed="false">
      <c r="A6" s="28" t="n">
        <f aca="false">IF(B5="","",IF(B5+1&gt;MAX(Diário!$A$5:$A$400),"",B5+1))</f>
        <v>46302</v>
      </c>
      <c r="B6" s="28" t="n">
        <f aca="false">IF(A6="","",A6+6)</f>
        <v>46308</v>
      </c>
      <c r="C6" s="13" t="n">
        <f aca="false">IF(A6="","",COUNTIFS(Diário!$A$5:$A$400,"&gt;="&amp;$A6,Diário!$A$5:$A$400,"&lt;="&amp;$B6))</f>
        <v>7</v>
      </c>
      <c r="D6" s="13" t="n">
        <f aca="false">IF($A6="","",SUMIFS(Diário!$B$5:$B$400,Diário!$A$5:$A$400,"&gt;="&amp;$A6,Diário!$A$5:$A$400,"&lt;="&amp;$B6))</f>
        <v>77865</v>
      </c>
      <c r="E6" s="13" t="n">
        <f aca="false">IF($A6="","",SUMIFS(Diário!$E$5:$E$400,Diário!$A$5:$A$400,"&gt;="&amp;$A6,Diário!$A$5:$A$400,"&lt;="&amp;$B6))</f>
        <v>1645</v>
      </c>
      <c r="F6" s="13" t="n">
        <f aca="false">IF($A6="","",SUMIFS(Diário!$D$5:$D$400,Diário!$A$5:$A$400,"&gt;="&amp;$A6,Diário!$A$5:$A$400,"&lt;="&amp;$B6))</f>
        <v>0</v>
      </c>
      <c r="G6" s="13" t="n">
        <f aca="false">IF($A6="","",SUMIFS(Diário!$C$5:$C$400,Diário!$A$5:$A$400,"&gt;="&amp;$A6,Diário!$A$5:$A$400,"&lt;="&amp;$B6))</f>
        <v>0</v>
      </c>
      <c r="H6" s="13" t="n">
        <f aca="false">IF(A6="","",SUM(D6:G6))</f>
        <v>79510</v>
      </c>
      <c r="I6" s="29" t="n">
        <f aca="false">IF($A6="","",SUMIFS(Diário!$G$5:$G$400,Diário!$A$5:$A$400,"&gt;="&amp;$A6,Diário!$A$5:$A$400,"&lt;="&amp;$B6))</f>
        <v>7896.15</v>
      </c>
      <c r="J6" s="30" t="n">
        <f aca="false">IF(A6="","",IF(H6=0,0,I6/H6))</f>
        <v>0.0993101496667086</v>
      </c>
      <c r="K6" s="14" t="n">
        <f aca="false">IF(A6="","",IF(I6=0,0,E6*Premissas!$C$5/I6))</f>
        <v>0.112497862882544</v>
      </c>
      <c r="L6" s="31" t="n">
        <f aca="false">IF(A6="","",IF(I5=0,"n/d",I6/I5-1))</f>
        <v>-0.365966641614153</v>
      </c>
    </row>
    <row r="7" customFormat="false" ht="14.25" hidden="false" customHeight="false" outlineLevel="0" collapsed="false">
      <c r="A7" s="28" t="n">
        <f aca="false">IF(B6="","",IF(B6+1&gt;MAX(Diário!$A$5:$A$400),"",B6+1))</f>
        <v>46309</v>
      </c>
      <c r="B7" s="28" t="n">
        <f aca="false">IF(A7="","",A7+6)</f>
        <v>46315</v>
      </c>
      <c r="C7" s="13" t="n">
        <f aca="false">IF(A7="","",COUNTIFS(Diário!$A$5:$A$400,"&gt;="&amp;$A7,Diário!$A$5:$A$400,"&lt;="&amp;$B7))</f>
        <v>7</v>
      </c>
      <c r="D7" s="13" t="n">
        <f aca="false">IF($A7="","",SUMIFS(Diário!$B$5:$B$400,Diário!$A$5:$A$400,"&gt;="&amp;$A7,Diário!$A$5:$A$400,"&lt;="&amp;$B7))</f>
        <v>72615</v>
      </c>
      <c r="E7" s="13" t="n">
        <f aca="false">IF($A7="","",SUMIFS(Diário!$E$5:$E$400,Diário!$A$5:$A$400,"&gt;="&amp;$A7,Diário!$A$5:$A$400,"&lt;="&amp;$B7))</f>
        <v>1372</v>
      </c>
      <c r="F7" s="13" t="n">
        <f aca="false">IF($A7="","",SUMIFS(Diário!$D$5:$D$400,Diário!$A$5:$A$400,"&gt;="&amp;$A7,Diário!$A$5:$A$400,"&lt;="&amp;$B7))</f>
        <v>0</v>
      </c>
      <c r="G7" s="13" t="n">
        <f aca="false">IF($A7="","",SUMIFS(Diário!$C$5:$C$400,Diário!$A$5:$A$400,"&gt;="&amp;$A7,Diário!$A$5:$A$400,"&lt;="&amp;$B7))</f>
        <v>0</v>
      </c>
      <c r="H7" s="13" t="n">
        <f aca="false">IF(A7="","",SUM(D7:G7))</f>
        <v>73987</v>
      </c>
      <c r="I7" s="29" t="n">
        <f aca="false">IF($A7="","",SUMIFS(Diário!$G$5:$G$400,Diário!$A$5:$A$400,"&gt;="&amp;$A7,Diário!$A$5:$A$400,"&lt;="&amp;$B7))</f>
        <v>7276.23</v>
      </c>
      <c r="J7" s="30" t="n">
        <f aca="false">IF(A7="","",IF(H7=0,0,I7/H7))</f>
        <v>0.0983447092056713</v>
      </c>
      <c r="K7" s="14" t="n">
        <f aca="false">IF(A7="","",IF(I7=0,0,E7*Premissas!$C$5/I7))</f>
        <v>0.101821959998516</v>
      </c>
      <c r="L7" s="31" t="n">
        <f aca="false">IF(A7="","",IF(I6=0,"n/d",I7/I6-1))</f>
        <v>-0.0785091468627116</v>
      </c>
    </row>
    <row r="8" customFormat="false" ht="14.25" hidden="false" customHeight="false" outlineLevel="0" collapsed="false">
      <c r="A8" s="28" t="str">
        <f aca="false">IF(B7="","",IF(B7+1&gt;MAX(Diário!$A$5:$A$400),"",B7+1))</f>
        <v/>
      </c>
      <c r="B8" s="28" t="str">
        <f aca="false">IF(A8="","",A8+6)</f>
        <v/>
      </c>
      <c r="C8" s="13" t="str">
        <f aca="false">IF(A8="","",COUNTIFS(Diário!$A$5:$A$400,"&gt;="&amp;$A8,Diário!$A$5:$A$400,"&lt;="&amp;$B8))</f>
        <v/>
      </c>
      <c r="D8" s="13" t="str">
        <f aca="false">IF($A8="","",SUMIFS(Diário!$B$5:$B$400,Diário!$A$5:$A$400,"&gt;="&amp;$A8,Diário!$A$5:$A$400,"&lt;="&amp;$B8))</f>
        <v/>
      </c>
      <c r="E8" s="13" t="str">
        <f aca="false">IF($A8="","",SUMIFS(Diário!$E$5:$E$400,Diário!$A$5:$A$400,"&gt;="&amp;$A8,Diário!$A$5:$A$400,"&lt;="&amp;$B8))</f>
        <v/>
      </c>
      <c r="F8" s="13" t="str">
        <f aca="false">IF($A8="","",SUMIFS(Diário!$D$5:$D$400,Diário!$A$5:$A$400,"&gt;="&amp;$A8,Diário!$A$5:$A$400,"&lt;="&amp;$B8))</f>
        <v/>
      </c>
      <c r="G8" s="13" t="str">
        <f aca="false">IF($A8="","",SUMIFS(Diário!$C$5:$C$400,Diário!$A$5:$A$400,"&gt;="&amp;$A8,Diário!$A$5:$A$400,"&lt;="&amp;$B8))</f>
        <v/>
      </c>
      <c r="H8" s="13" t="str">
        <f aca="false">IF(A8="","",SUM(D8:G8))</f>
        <v/>
      </c>
      <c r="I8" s="29" t="str">
        <f aca="false">IF($A8="","",SUMIFS(Diário!$G$5:$G$400,Diário!$A$5:$A$400,"&gt;="&amp;$A8,Diário!$A$5:$A$400,"&lt;="&amp;$B8))</f>
        <v/>
      </c>
      <c r="J8" s="30" t="str">
        <f aca="false">IF(A8="","",IF(H8=0,0,I8/H8))</f>
        <v/>
      </c>
      <c r="K8" s="14" t="str">
        <f aca="false">IF(A8="","",IF(I8=0,0,E8*Premissas!$C$5/I8))</f>
        <v/>
      </c>
      <c r="L8" s="31" t="str">
        <f aca="false">IF(A8="","",IF(I7=0,"n/d",I8/I7-1))</f>
        <v/>
      </c>
    </row>
    <row r="9" customFormat="false" ht="14.25" hidden="false" customHeight="false" outlineLevel="0" collapsed="false">
      <c r="A9" s="28" t="str">
        <f aca="false">IF(B8="","",IF(B8+1&gt;MAX(Diário!$A$5:$A$400),"",B8+1))</f>
        <v/>
      </c>
      <c r="B9" s="28" t="str">
        <f aca="false">IF(A9="","",A9+6)</f>
        <v/>
      </c>
      <c r="C9" s="13" t="str">
        <f aca="false">IF(A9="","",COUNTIFS(Diário!$A$5:$A$400,"&gt;="&amp;$A9,Diário!$A$5:$A$400,"&lt;="&amp;$B9))</f>
        <v/>
      </c>
      <c r="D9" s="13" t="str">
        <f aca="false">IF($A9="","",SUMIFS(Diário!$B$5:$B$400,Diário!$A$5:$A$400,"&gt;="&amp;$A9,Diário!$A$5:$A$400,"&lt;="&amp;$B9))</f>
        <v/>
      </c>
      <c r="E9" s="13" t="str">
        <f aca="false">IF($A9="","",SUMIFS(Diário!$E$5:$E$400,Diário!$A$5:$A$400,"&gt;="&amp;$A9,Diário!$A$5:$A$400,"&lt;="&amp;$B9))</f>
        <v/>
      </c>
      <c r="F9" s="13" t="str">
        <f aca="false">IF($A9="","",SUMIFS(Diário!$D$5:$D$400,Diário!$A$5:$A$400,"&gt;="&amp;$A9,Diário!$A$5:$A$400,"&lt;="&amp;$B9))</f>
        <v/>
      </c>
      <c r="G9" s="13" t="str">
        <f aca="false">IF($A9="","",SUMIFS(Diário!$C$5:$C$400,Diário!$A$5:$A$400,"&gt;="&amp;$A9,Diário!$A$5:$A$400,"&lt;="&amp;$B9))</f>
        <v/>
      </c>
      <c r="H9" s="13" t="str">
        <f aca="false">IF(A9="","",SUM(D9:G9))</f>
        <v/>
      </c>
      <c r="I9" s="29" t="str">
        <f aca="false">IF($A9="","",SUMIFS(Diário!$G$5:$G$400,Diário!$A$5:$A$400,"&gt;="&amp;$A9,Diário!$A$5:$A$400,"&lt;="&amp;$B9))</f>
        <v/>
      </c>
      <c r="J9" s="30" t="str">
        <f aca="false">IF(A9="","",IF(H9=0,0,I9/H9))</f>
        <v/>
      </c>
      <c r="K9" s="14" t="str">
        <f aca="false">IF(A9="","",IF(I9=0,0,E9*Premissas!$C$5/I9))</f>
        <v/>
      </c>
      <c r="L9" s="31" t="str">
        <f aca="false">IF(A9="","",IF(I8=0,"n/d",I9/I8-1))</f>
        <v/>
      </c>
    </row>
    <row r="10" customFormat="false" ht="14.25" hidden="false" customHeight="false" outlineLevel="0" collapsed="false">
      <c r="A10" s="28" t="str">
        <f aca="false">IF(B9="","",IF(B9+1&gt;MAX(Diário!$A$5:$A$400),"",B9+1))</f>
        <v/>
      </c>
      <c r="B10" s="28" t="str">
        <f aca="false">IF(A10="","",A10+6)</f>
        <v/>
      </c>
      <c r="C10" s="13" t="str">
        <f aca="false">IF(A10="","",COUNTIFS(Diário!$A$5:$A$400,"&gt;="&amp;$A10,Diário!$A$5:$A$400,"&lt;="&amp;$B10))</f>
        <v/>
      </c>
      <c r="D10" s="13" t="str">
        <f aca="false">IF($A10="","",SUMIFS(Diário!$B$5:$B$400,Diário!$A$5:$A$400,"&gt;="&amp;$A10,Diário!$A$5:$A$400,"&lt;="&amp;$B10))</f>
        <v/>
      </c>
      <c r="E10" s="13" t="str">
        <f aca="false">IF($A10="","",SUMIFS(Diário!$E$5:$E$400,Diário!$A$5:$A$400,"&gt;="&amp;$A10,Diário!$A$5:$A$400,"&lt;="&amp;$B10))</f>
        <v/>
      </c>
      <c r="F10" s="13" t="str">
        <f aca="false">IF($A10="","",SUMIFS(Diário!$D$5:$D$400,Diário!$A$5:$A$400,"&gt;="&amp;$A10,Diário!$A$5:$A$400,"&lt;="&amp;$B10))</f>
        <v/>
      </c>
      <c r="G10" s="13" t="str">
        <f aca="false">IF($A10="","",SUMIFS(Diário!$C$5:$C$400,Diário!$A$5:$A$400,"&gt;="&amp;$A10,Diário!$A$5:$A$400,"&lt;="&amp;$B10))</f>
        <v/>
      </c>
      <c r="H10" s="13" t="str">
        <f aca="false">IF(A10="","",SUM(D10:G10))</f>
        <v/>
      </c>
      <c r="I10" s="29" t="str">
        <f aca="false">IF($A10="","",SUMIFS(Diário!$G$5:$G$400,Diário!$A$5:$A$400,"&gt;="&amp;$A10,Diário!$A$5:$A$400,"&lt;="&amp;$B10))</f>
        <v/>
      </c>
      <c r="J10" s="30" t="str">
        <f aca="false">IF(A10="","",IF(H10=0,0,I10/H10))</f>
        <v/>
      </c>
      <c r="K10" s="14" t="str">
        <f aca="false">IF(A10="","",IF(I10=0,0,E10*Premissas!$C$5/I10))</f>
        <v/>
      </c>
      <c r="L10" s="31" t="str">
        <f aca="false">IF(A10="","",IF(I9=0,"n/d",I10/I9-1))</f>
        <v/>
      </c>
    </row>
    <row r="11" customFormat="false" ht="14.25" hidden="false" customHeight="false" outlineLevel="0" collapsed="false">
      <c r="A11" s="28" t="str">
        <f aca="false">IF(B10="","",IF(B10+1&gt;MAX(Diário!$A$5:$A$400),"",B10+1))</f>
        <v/>
      </c>
      <c r="B11" s="28" t="str">
        <f aca="false">IF(A11="","",A11+6)</f>
        <v/>
      </c>
      <c r="C11" s="13" t="str">
        <f aca="false">IF(A11="","",COUNTIFS(Diário!$A$5:$A$400,"&gt;="&amp;$A11,Diário!$A$5:$A$400,"&lt;="&amp;$B11))</f>
        <v/>
      </c>
      <c r="D11" s="13" t="str">
        <f aca="false">IF($A11="","",SUMIFS(Diário!$B$5:$B$400,Diário!$A$5:$A$400,"&gt;="&amp;$A11,Diário!$A$5:$A$400,"&lt;="&amp;$B11))</f>
        <v/>
      </c>
      <c r="E11" s="13" t="str">
        <f aca="false">IF($A11="","",SUMIFS(Diário!$E$5:$E$400,Diário!$A$5:$A$400,"&gt;="&amp;$A11,Diário!$A$5:$A$400,"&lt;="&amp;$B11))</f>
        <v/>
      </c>
      <c r="F11" s="13" t="str">
        <f aca="false">IF($A11="","",SUMIFS(Diário!$D$5:$D$400,Diário!$A$5:$A$400,"&gt;="&amp;$A11,Diário!$A$5:$A$400,"&lt;="&amp;$B11))</f>
        <v/>
      </c>
      <c r="G11" s="13" t="str">
        <f aca="false">IF($A11="","",SUMIFS(Diário!$C$5:$C$400,Diário!$A$5:$A$400,"&gt;="&amp;$A11,Diário!$A$5:$A$400,"&lt;="&amp;$B11))</f>
        <v/>
      </c>
      <c r="H11" s="13" t="str">
        <f aca="false">IF(A11="","",SUM(D11:G11))</f>
        <v/>
      </c>
      <c r="I11" s="29" t="str">
        <f aca="false">IF($A11="","",SUMIFS(Diário!$G$5:$G$400,Diário!$A$5:$A$400,"&gt;="&amp;$A11,Diário!$A$5:$A$400,"&lt;="&amp;$B11))</f>
        <v/>
      </c>
      <c r="J11" s="30" t="str">
        <f aca="false">IF(A11="","",IF(H11=0,0,I11/H11))</f>
        <v/>
      </c>
      <c r="K11" s="14" t="str">
        <f aca="false">IF(A11="","",IF(I11=0,0,E11*Premissas!$C$5/I11))</f>
        <v/>
      </c>
      <c r="L11" s="31" t="str">
        <f aca="false">IF(A11="","",IF(I10=0,"n/d",I11/I10-1))</f>
        <v/>
      </c>
    </row>
    <row r="12" customFormat="false" ht="14.25" hidden="false" customHeight="false" outlineLevel="0" collapsed="false">
      <c r="A12" s="28" t="str">
        <f aca="false">IF(B11="","",IF(B11+1&gt;MAX(Diário!$A$5:$A$400),"",B11+1))</f>
        <v/>
      </c>
      <c r="B12" s="28" t="str">
        <f aca="false">IF(A12="","",A12+6)</f>
        <v/>
      </c>
      <c r="C12" s="13" t="str">
        <f aca="false">IF(A12="","",COUNTIFS(Diário!$A$5:$A$400,"&gt;="&amp;$A12,Diário!$A$5:$A$400,"&lt;="&amp;$B12))</f>
        <v/>
      </c>
      <c r="D12" s="13" t="str">
        <f aca="false">IF($A12="","",SUMIFS(Diário!$B$5:$B$400,Diário!$A$5:$A$400,"&gt;="&amp;$A12,Diário!$A$5:$A$400,"&lt;="&amp;$B12))</f>
        <v/>
      </c>
      <c r="E12" s="13" t="str">
        <f aca="false">IF($A12="","",SUMIFS(Diário!$E$5:$E$400,Diário!$A$5:$A$400,"&gt;="&amp;$A12,Diário!$A$5:$A$400,"&lt;="&amp;$B12))</f>
        <v/>
      </c>
      <c r="F12" s="13" t="str">
        <f aca="false">IF($A12="","",SUMIFS(Diário!$D$5:$D$400,Diário!$A$5:$A$400,"&gt;="&amp;$A12,Diário!$A$5:$A$400,"&lt;="&amp;$B12))</f>
        <v/>
      </c>
      <c r="G12" s="13" t="str">
        <f aca="false">IF($A12="","",SUMIFS(Diário!$C$5:$C$400,Diário!$A$5:$A$400,"&gt;="&amp;$A12,Diário!$A$5:$A$400,"&lt;="&amp;$B12))</f>
        <v/>
      </c>
      <c r="H12" s="13" t="str">
        <f aca="false">IF(A12="","",SUM(D12:G12))</f>
        <v/>
      </c>
      <c r="I12" s="29" t="str">
        <f aca="false">IF($A12="","",SUMIFS(Diário!$G$5:$G$400,Diário!$A$5:$A$400,"&gt;="&amp;$A12,Diário!$A$5:$A$400,"&lt;="&amp;$B12))</f>
        <v/>
      </c>
      <c r="J12" s="30" t="str">
        <f aca="false">IF(A12="","",IF(H12=0,0,I12/H12))</f>
        <v/>
      </c>
      <c r="K12" s="14" t="str">
        <f aca="false">IF(A12="","",IF(I12=0,0,E12*Premissas!$C$5/I12))</f>
        <v/>
      </c>
      <c r="L12" s="31" t="str">
        <f aca="false">IF(A12="","",IF(I11=0,"n/d",I12/I11-1))</f>
        <v/>
      </c>
    </row>
    <row r="13" customFormat="false" ht="14.25" hidden="false" customHeight="false" outlineLevel="0" collapsed="false">
      <c r="A13" s="28" t="str">
        <f aca="false">IF(B12="","",IF(B12+1&gt;MAX(Diário!$A$5:$A$400),"",B12+1))</f>
        <v/>
      </c>
      <c r="B13" s="28" t="str">
        <f aca="false">IF(A13="","",A13+6)</f>
        <v/>
      </c>
      <c r="C13" s="13" t="str">
        <f aca="false">IF(A13="","",COUNTIFS(Diário!$A$5:$A$400,"&gt;="&amp;$A13,Diário!$A$5:$A$400,"&lt;="&amp;$B13))</f>
        <v/>
      </c>
      <c r="D13" s="13" t="str">
        <f aca="false">IF($A13="","",SUMIFS(Diário!$B$5:$B$400,Diário!$A$5:$A$400,"&gt;="&amp;$A13,Diário!$A$5:$A$400,"&lt;="&amp;$B13))</f>
        <v/>
      </c>
      <c r="E13" s="13" t="str">
        <f aca="false">IF($A13="","",SUMIFS(Diário!$E$5:$E$400,Diário!$A$5:$A$400,"&gt;="&amp;$A13,Diário!$A$5:$A$400,"&lt;="&amp;$B13))</f>
        <v/>
      </c>
      <c r="F13" s="13" t="str">
        <f aca="false">IF($A13="","",SUMIFS(Diário!$D$5:$D$400,Diário!$A$5:$A$400,"&gt;="&amp;$A13,Diário!$A$5:$A$400,"&lt;="&amp;$B13))</f>
        <v/>
      </c>
      <c r="G13" s="13" t="str">
        <f aca="false">IF($A13="","",SUMIFS(Diário!$C$5:$C$400,Diário!$A$5:$A$400,"&gt;="&amp;$A13,Diário!$A$5:$A$400,"&lt;="&amp;$B13))</f>
        <v/>
      </c>
      <c r="H13" s="13" t="str">
        <f aca="false">IF(A13="","",SUM(D13:G13))</f>
        <v/>
      </c>
      <c r="I13" s="29" t="str">
        <f aca="false">IF($A13="","",SUMIFS(Diário!$G$5:$G$400,Diário!$A$5:$A$400,"&gt;="&amp;$A13,Diário!$A$5:$A$400,"&lt;="&amp;$B13))</f>
        <v/>
      </c>
      <c r="J13" s="30" t="str">
        <f aca="false">IF(A13="","",IF(H13=0,0,I13/H13))</f>
        <v/>
      </c>
      <c r="K13" s="14" t="str">
        <f aca="false">IF(A13="","",IF(I13=0,0,E13*Premissas!$C$5/I13))</f>
        <v/>
      </c>
      <c r="L13" s="31" t="str">
        <f aca="false">IF(A13="","",IF(I12=0,"n/d",I13/I12-1))</f>
        <v/>
      </c>
    </row>
    <row r="14" customFormat="false" ht="14.25" hidden="false" customHeight="false" outlineLevel="0" collapsed="false">
      <c r="A14" s="28" t="str">
        <f aca="false">IF(B13="","",IF(B13+1&gt;MAX(Diário!$A$5:$A$400),"",B13+1))</f>
        <v/>
      </c>
      <c r="B14" s="28" t="str">
        <f aca="false">IF(A14="","",A14+6)</f>
        <v/>
      </c>
      <c r="C14" s="13" t="str">
        <f aca="false">IF(A14="","",COUNTIFS(Diário!$A$5:$A$400,"&gt;="&amp;$A14,Diário!$A$5:$A$400,"&lt;="&amp;$B14))</f>
        <v/>
      </c>
      <c r="D14" s="13" t="str">
        <f aca="false">IF($A14="","",SUMIFS(Diário!$B$5:$B$400,Diário!$A$5:$A$400,"&gt;="&amp;$A14,Diário!$A$5:$A$400,"&lt;="&amp;$B14))</f>
        <v/>
      </c>
      <c r="E14" s="13" t="str">
        <f aca="false">IF($A14="","",SUMIFS(Diário!$E$5:$E$400,Diário!$A$5:$A$400,"&gt;="&amp;$A14,Diário!$A$5:$A$400,"&lt;="&amp;$B14))</f>
        <v/>
      </c>
      <c r="F14" s="13" t="str">
        <f aca="false">IF($A14="","",SUMIFS(Diário!$D$5:$D$400,Diário!$A$5:$A$400,"&gt;="&amp;$A14,Diário!$A$5:$A$400,"&lt;="&amp;$B14))</f>
        <v/>
      </c>
      <c r="G14" s="13" t="str">
        <f aca="false">IF($A14="","",SUMIFS(Diário!$C$5:$C$400,Diário!$A$5:$A$400,"&gt;="&amp;$A14,Diário!$A$5:$A$400,"&lt;="&amp;$B14))</f>
        <v/>
      </c>
      <c r="H14" s="13" t="str">
        <f aca="false">IF(A14="","",SUM(D14:G14))</f>
        <v/>
      </c>
      <c r="I14" s="29" t="str">
        <f aca="false">IF($A14="","",SUMIFS(Diário!$G$5:$G$400,Diário!$A$5:$A$400,"&gt;="&amp;$A14,Diário!$A$5:$A$400,"&lt;="&amp;$B14))</f>
        <v/>
      </c>
      <c r="J14" s="30" t="str">
        <f aca="false">IF(A14="","",IF(H14=0,0,I14/H14))</f>
        <v/>
      </c>
      <c r="K14" s="14" t="str">
        <f aca="false">IF(A14="","",IF(I14=0,0,E14*Premissas!$C$5/I14))</f>
        <v/>
      </c>
      <c r="L14" s="31" t="str">
        <f aca="false">IF(A14="","",IF(I13=0,"n/d",I14/I13-1))</f>
        <v/>
      </c>
    </row>
    <row r="15" customFormat="false" ht="14.25" hidden="false" customHeight="false" outlineLevel="0" collapsed="false">
      <c r="A15" s="28" t="str">
        <f aca="false">IF(B14="","",IF(B14+1&gt;MAX(Diário!$A$5:$A$400),"",B14+1))</f>
        <v/>
      </c>
      <c r="B15" s="28" t="str">
        <f aca="false">IF(A15="","",A15+6)</f>
        <v/>
      </c>
      <c r="C15" s="13" t="str">
        <f aca="false">IF(A15="","",COUNTIFS(Diário!$A$5:$A$400,"&gt;="&amp;$A15,Diário!$A$5:$A$400,"&lt;="&amp;$B15))</f>
        <v/>
      </c>
      <c r="D15" s="13" t="str">
        <f aca="false">IF($A15="","",SUMIFS(Diário!$B$5:$B$400,Diário!$A$5:$A$400,"&gt;="&amp;$A15,Diário!$A$5:$A$400,"&lt;="&amp;$B15))</f>
        <v/>
      </c>
      <c r="E15" s="13" t="str">
        <f aca="false">IF($A15="","",SUMIFS(Diário!$E$5:$E$400,Diário!$A$5:$A$400,"&gt;="&amp;$A15,Diário!$A$5:$A$400,"&lt;="&amp;$B15))</f>
        <v/>
      </c>
      <c r="F15" s="13" t="str">
        <f aca="false">IF($A15="","",SUMIFS(Diário!$D$5:$D$400,Diário!$A$5:$A$400,"&gt;="&amp;$A15,Diário!$A$5:$A$400,"&lt;="&amp;$B15))</f>
        <v/>
      </c>
      <c r="G15" s="13" t="str">
        <f aca="false">IF($A15="","",SUMIFS(Diário!$C$5:$C$400,Diário!$A$5:$A$400,"&gt;="&amp;$A15,Diário!$A$5:$A$400,"&lt;="&amp;$B15))</f>
        <v/>
      </c>
      <c r="H15" s="13" t="str">
        <f aca="false">IF(A15="","",SUM(D15:G15))</f>
        <v/>
      </c>
      <c r="I15" s="29" t="str">
        <f aca="false">IF($A15="","",SUMIFS(Diário!$G$5:$G$400,Diário!$A$5:$A$400,"&gt;="&amp;$A15,Diário!$A$5:$A$400,"&lt;="&amp;$B15))</f>
        <v/>
      </c>
      <c r="J15" s="30" t="str">
        <f aca="false">IF(A15="","",IF(H15=0,0,I15/H15))</f>
        <v/>
      </c>
      <c r="K15" s="14" t="str">
        <f aca="false">IF(A15="","",IF(I15=0,0,E15*Premissas!$C$5/I15))</f>
        <v/>
      </c>
      <c r="L15" s="31" t="str">
        <f aca="false">IF(A15="","",IF(I14=0,"n/d",I15/I14-1))</f>
        <v/>
      </c>
    </row>
    <row r="16" customFormat="false" ht="14.25" hidden="false" customHeight="false" outlineLevel="0" collapsed="false">
      <c r="A16" s="28" t="str">
        <f aca="false">IF(B15="","",IF(B15+1&gt;MAX(Diário!$A$5:$A$400),"",B15+1))</f>
        <v/>
      </c>
      <c r="B16" s="28" t="str">
        <f aca="false">IF(A16="","",A16+6)</f>
        <v/>
      </c>
      <c r="C16" s="13" t="str">
        <f aca="false">IF(A16="","",COUNTIFS(Diário!$A$5:$A$400,"&gt;="&amp;$A16,Diário!$A$5:$A$400,"&lt;="&amp;$B16))</f>
        <v/>
      </c>
      <c r="D16" s="13" t="str">
        <f aca="false">IF($A16="","",SUMIFS(Diário!$B$5:$B$400,Diário!$A$5:$A$400,"&gt;="&amp;$A16,Diário!$A$5:$A$400,"&lt;="&amp;$B16))</f>
        <v/>
      </c>
      <c r="E16" s="13" t="str">
        <f aca="false">IF($A16="","",SUMIFS(Diário!$E$5:$E$400,Diário!$A$5:$A$400,"&gt;="&amp;$A16,Diário!$A$5:$A$400,"&lt;="&amp;$B16))</f>
        <v/>
      </c>
      <c r="F16" s="13" t="str">
        <f aca="false">IF($A16="","",SUMIFS(Diário!$D$5:$D$400,Diário!$A$5:$A$400,"&gt;="&amp;$A16,Diário!$A$5:$A$400,"&lt;="&amp;$B16))</f>
        <v/>
      </c>
      <c r="G16" s="13" t="str">
        <f aca="false">IF($A16="","",SUMIFS(Diário!$C$5:$C$400,Diário!$A$5:$A$400,"&gt;="&amp;$A16,Diário!$A$5:$A$400,"&lt;="&amp;$B16))</f>
        <v/>
      </c>
      <c r="H16" s="13" t="str">
        <f aca="false">IF(A16="","",SUM(D16:G16))</f>
        <v/>
      </c>
      <c r="I16" s="29" t="str">
        <f aca="false">IF($A16="","",SUMIFS(Diário!$G$5:$G$400,Diário!$A$5:$A$400,"&gt;="&amp;$A16,Diário!$A$5:$A$400,"&lt;="&amp;$B16))</f>
        <v/>
      </c>
      <c r="J16" s="30" t="str">
        <f aca="false">IF(A16="","",IF(H16=0,0,I16/H16))</f>
        <v/>
      </c>
      <c r="K16" s="14" t="str">
        <f aca="false">IF(A16="","",IF(I16=0,0,E16*Premissas!$C$5/I16))</f>
        <v/>
      </c>
      <c r="L16" s="31" t="str">
        <f aca="false">IF(A16="","",IF(I15=0,"n/d",I16/I15-1))</f>
        <v/>
      </c>
    </row>
    <row r="17" customFormat="false" ht="14.25" hidden="false" customHeight="false" outlineLevel="0" collapsed="false">
      <c r="A17" s="28" t="str">
        <f aca="false">IF(B16="","",IF(B16+1&gt;MAX(Diário!$A$5:$A$400),"",B16+1))</f>
        <v/>
      </c>
      <c r="B17" s="28" t="str">
        <f aca="false">IF(A17="","",A17+6)</f>
        <v/>
      </c>
      <c r="C17" s="13" t="str">
        <f aca="false">IF(A17="","",COUNTIFS(Diário!$A$5:$A$400,"&gt;="&amp;$A17,Diário!$A$5:$A$400,"&lt;="&amp;$B17))</f>
        <v/>
      </c>
      <c r="D17" s="13" t="str">
        <f aca="false">IF($A17="","",SUMIFS(Diário!$B$5:$B$400,Diário!$A$5:$A$400,"&gt;="&amp;$A17,Diário!$A$5:$A$400,"&lt;="&amp;$B17))</f>
        <v/>
      </c>
      <c r="E17" s="13" t="str">
        <f aca="false">IF($A17="","",SUMIFS(Diário!$E$5:$E$400,Diário!$A$5:$A$400,"&gt;="&amp;$A17,Diário!$A$5:$A$400,"&lt;="&amp;$B17))</f>
        <v/>
      </c>
      <c r="F17" s="13" t="str">
        <f aca="false">IF($A17="","",SUMIFS(Diário!$D$5:$D$400,Diário!$A$5:$A$400,"&gt;="&amp;$A17,Diário!$A$5:$A$400,"&lt;="&amp;$B17))</f>
        <v/>
      </c>
      <c r="G17" s="13" t="str">
        <f aca="false">IF($A17="","",SUMIFS(Diário!$C$5:$C$400,Diário!$A$5:$A$400,"&gt;="&amp;$A17,Diário!$A$5:$A$400,"&lt;="&amp;$B17))</f>
        <v/>
      </c>
      <c r="H17" s="13" t="str">
        <f aca="false">IF(A17="","",SUM(D17:G17))</f>
        <v/>
      </c>
      <c r="I17" s="29" t="str">
        <f aca="false">IF($A17="","",SUMIFS(Diário!$G$5:$G$400,Diário!$A$5:$A$400,"&gt;="&amp;$A17,Diário!$A$5:$A$400,"&lt;="&amp;$B17))</f>
        <v/>
      </c>
      <c r="J17" s="30" t="str">
        <f aca="false">IF(A17="","",IF(H17=0,0,I17/H17))</f>
        <v/>
      </c>
      <c r="K17" s="14" t="str">
        <f aca="false">IF(A17="","",IF(I17=0,0,E17*Premissas!$C$5/I17))</f>
        <v/>
      </c>
      <c r="L17" s="31" t="str">
        <f aca="false">IF(A17="","",IF(I16=0,"n/d",I17/I16-1))</f>
        <v/>
      </c>
    </row>
    <row r="18" customFormat="false" ht="14.25" hidden="false" customHeight="false" outlineLevel="0" collapsed="false">
      <c r="A18" s="28" t="str">
        <f aca="false">IF(B17="","",IF(B17+1&gt;MAX(Diário!$A$5:$A$400),"",B17+1))</f>
        <v/>
      </c>
      <c r="B18" s="28" t="str">
        <f aca="false">IF(A18="","",A18+6)</f>
        <v/>
      </c>
      <c r="C18" s="13" t="str">
        <f aca="false">IF(A18="","",COUNTIFS(Diário!$A$5:$A$400,"&gt;="&amp;$A18,Diário!$A$5:$A$400,"&lt;="&amp;$B18))</f>
        <v/>
      </c>
      <c r="D18" s="13" t="str">
        <f aca="false">IF($A18="","",SUMIFS(Diário!$B$5:$B$400,Diário!$A$5:$A$400,"&gt;="&amp;$A18,Diário!$A$5:$A$400,"&lt;="&amp;$B18))</f>
        <v/>
      </c>
      <c r="E18" s="13" t="str">
        <f aca="false">IF($A18="","",SUMIFS(Diário!$E$5:$E$400,Diário!$A$5:$A$400,"&gt;="&amp;$A18,Diário!$A$5:$A$400,"&lt;="&amp;$B18))</f>
        <v/>
      </c>
      <c r="F18" s="13" t="str">
        <f aca="false">IF($A18="","",SUMIFS(Diário!$D$5:$D$400,Diário!$A$5:$A$400,"&gt;="&amp;$A18,Diário!$A$5:$A$400,"&lt;="&amp;$B18))</f>
        <v/>
      </c>
      <c r="G18" s="13" t="str">
        <f aca="false">IF($A18="","",SUMIFS(Diário!$C$5:$C$400,Diário!$A$5:$A$400,"&gt;="&amp;$A18,Diário!$A$5:$A$400,"&lt;="&amp;$B18))</f>
        <v/>
      </c>
      <c r="H18" s="13" t="str">
        <f aca="false">IF(A18="","",SUM(D18:G18))</f>
        <v/>
      </c>
      <c r="I18" s="29" t="str">
        <f aca="false">IF($A18="","",SUMIFS(Diário!$G$5:$G$400,Diário!$A$5:$A$400,"&gt;="&amp;$A18,Diário!$A$5:$A$400,"&lt;="&amp;$B18))</f>
        <v/>
      </c>
      <c r="J18" s="30" t="str">
        <f aca="false">IF(A18="","",IF(H18=0,0,I18/H18))</f>
        <v/>
      </c>
      <c r="K18" s="14" t="str">
        <f aca="false">IF(A18="","",IF(I18=0,0,E18*Premissas!$C$5/I18))</f>
        <v/>
      </c>
      <c r="L18" s="31" t="str">
        <f aca="false">IF(A18="","",IF(I17=0,"n/d",I18/I17-1))</f>
        <v/>
      </c>
    </row>
    <row r="19" customFormat="false" ht="14.25" hidden="false" customHeight="false" outlineLevel="0" collapsed="false">
      <c r="A19" s="28" t="str">
        <f aca="false">IF(B18="","",IF(B18+1&gt;MAX(Diário!$A$5:$A$400),"",B18+1))</f>
        <v/>
      </c>
      <c r="B19" s="28" t="str">
        <f aca="false">IF(A19="","",A19+6)</f>
        <v/>
      </c>
      <c r="C19" s="13" t="str">
        <f aca="false">IF(A19="","",COUNTIFS(Diário!$A$5:$A$400,"&gt;="&amp;$A19,Diário!$A$5:$A$400,"&lt;="&amp;$B19))</f>
        <v/>
      </c>
      <c r="D19" s="13" t="str">
        <f aca="false">IF($A19="","",SUMIFS(Diário!$B$5:$B$400,Diário!$A$5:$A$400,"&gt;="&amp;$A19,Diário!$A$5:$A$400,"&lt;="&amp;$B19))</f>
        <v/>
      </c>
      <c r="E19" s="13" t="str">
        <f aca="false">IF($A19="","",SUMIFS(Diário!$E$5:$E$400,Diário!$A$5:$A$400,"&gt;="&amp;$A19,Diário!$A$5:$A$400,"&lt;="&amp;$B19))</f>
        <v/>
      </c>
      <c r="F19" s="13" t="str">
        <f aca="false">IF($A19="","",SUMIFS(Diário!$D$5:$D$400,Diário!$A$5:$A$400,"&gt;="&amp;$A19,Diário!$A$5:$A$400,"&lt;="&amp;$B19))</f>
        <v/>
      </c>
      <c r="G19" s="13" t="str">
        <f aca="false">IF($A19="","",SUMIFS(Diário!$C$5:$C$400,Diário!$A$5:$A$400,"&gt;="&amp;$A19,Diário!$A$5:$A$400,"&lt;="&amp;$B19))</f>
        <v/>
      </c>
      <c r="H19" s="13" t="str">
        <f aca="false">IF(A19="","",SUM(D19:G19))</f>
        <v/>
      </c>
      <c r="I19" s="29" t="str">
        <f aca="false">IF($A19="","",SUMIFS(Diário!$G$5:$G$400,Diário!$A$5:$A$400,"&gt;="&amp;$A19,Diário!$A$5:$A$400,"&lt;="&amp;$B19))</f>
        <v/>
      </c>
      <c r="J19" s="30" t="str">
        <f aca="false">IF(A19="","",IF(H19=0,0,I19/H19))</f>
        <v/>
      </c>
      <c r="K19" s="14" t="str">
        <f aca="false">IF(A19="","",IF(I19=0,0,E19*Premissas!$C$5/I19))</f>
        <v/>
      </c>
      <c r="L19" s="31" t="str">
        <f aca="false">IF(A19="","",IF(I18=0,"n/d",I19/I18-1))</f>
        <v/>
      </c>
    </row>
    <row r="20" customFormat="false" ht="14.25" hidden="false" customHeight="false" outlineLevel="0" collapsed="false">
      <c r="A20" s="28" t="str">
        <f aca="false">IF(B19="","",IF(B19+1&gt;MAX(Diário!$A$5:$A$400),"",B19+1))</f>
        <v/>
      </c>
      <c r="B20" s="28" t="str">
        <f aca="false">IF(A20="","",A20+6)</f>
        <v/>
      </c>
      <c r="C20" s="13" t="str">
        <f aca="false">IF(A20="","",COUNTIFS(Diário!$A$5:$A$400,"&gt;="&amp;$A20,Diário!$A$5:$A$400,"&lt;="&amp;$B20))</f>
        <v/>
      </c>
      <c r="D20" s="13" t="str">
        <f aca="false">IF($A20="","",SUMIFS(Diário!$B$5:$B$400,Diário!$A$5:$A$400,"&gt;="&amp;$A20,Diário!$A$5:$A$400,"&lt;="&amp;$B20))</f>
        <v/>
      </c>
      <c r="E20" s="13" t="str">
        <f aca="false">IF($A20="","",SUMIFS(Diário!$E$5:$E$400,Diário!$A$5:$A$400,"&gt;="&amp;$A20,Diário!$A$5:$A$400,"&lt;="&amp;$B20))</f>
        <v/>
      </c>
      <c r="F20" s="13" t="str">
        <f aca="false">IF($A20="","",SUMIFS(Diário!$D$5:$D$400,Diário!$A$5:$A$400,"&gt;="&amp;$A20,Diário!$A$5:$A$400,"&lt;="&amp;$B20))</f>
        <v/>
      </c>
      <c r="G20" s="13" t="str">
        <f aca="false">IF($A20="","",SUMIFS(Diário!$C$5:$C$400,Diário!$A$5:$A$400,"&gt;="&amp;$A20,Diário!$A$5:$A$400,"&lt;="&amp;$B20))</f>
        <v/>
      </c>
      <c r="H20" s="13" t="str">
        <f aca="false">IF(A20="","",SUM(D20:G20))</f>
        <v/>
      </c>
      <c r="I20" s="29" t="str">
        <f aca="false">IF($A20="","",SUMIFS(Diário!$G$5:$G$400,Diário!$A$5:$A$400,"&gt;="&amp;$A20,Diário!$A$5:$A$400,"&lt;="&amp;$B20))</f>
        <v/>
      </c>
      <c r="J20" s="30" t="str">
        <f aca="false">IF(A20="","",IF(H20=0,0,I20/H20))</f>
        <v/>
      </c>
      <c r="K20" s="14" t="str">
        <f aca="false">IF(A20="","",IF(I20=0,0,E20*Premissas!$C$5/I20))</f>
        <v/>
      </c>
      <c r="L20" s="31" t="str">
        <f aca="false">IF(A20="","",IF(I19=0,"n/d",I20/I19-1))</f>
        <v/>
      </c>
    </row>
    <row r="21" customFormat="false" ht="14.25" hidden="false" customHeight="false" outlineLevel="0" collapsed="false">
      <c r="A21" s="28" t="str">
        <f aca="false">IF(B20="","",IF(B20+1&gt;MAX(Diário!$A$5:$A$400),"",B20+1))</f>
        <v/>
      </c>
      <c r="B21" s="28" t="str">
        <f aca="false">IF(A21="","",A21+6)</f>
        <v/>
      </c>
      <c r="C21" s="13" t="str">
        <f aca="false">IF(A21="","",COUNTIFS(Diário!$A$5:$A$400,"&gt;="&amp;$A21,Diário!$A$5:$A$400,"&lt;="&amp;$B21))</f>
        <v/>
      </c>
      <c r="D21" s="13" t="str">
        <f aca="false">IF($A21="","",SUMIFS(Diário!$B$5:$B$400,Diário!$A$5:$A$400,"&gt;="&amp;$A21,Diário!$A$5:$A$400,"&lt;="&amp;$B21))</f>
        <v/>
      </c>
      <c r="E21" s="13" t="str">
        <f aca="false">IF($A21="","",SUMIFS(Diário!$E$5:$E$400,Diário!$A$5:$A$400,"&gt;="&amp;$A21,Diário!$A$5:$A$400,"&lt;="&amp;$B21))</f>
        <v/>
      </c>
      <c r="F21" s="13" t="str">
        <f aca="false">IF($A21="","",SUMIFS(Diário!$D$5:$D$400,Diário!$A$5:$A$400,"&gt;="&amp;$A21,Diário!$A$5:$A$400,"&lt;="&amp;$B21))</f>
        <v/>
      </c>
      <c r="G21" s="13" t="str">
        <f aca="false">IF($A21="","",SUMIFS(Diário!$C$5:$C$400,Diário!$A$5:$A$400,"&gt;="&amp;$A21,Diário!$A$5:$A$400,"&lt;="&amp;$B21))</f>
        <v/>
      </c>
      <c r="H21" s="13" t="str">
        <f aca="false">IF(A21="","",SUM(D21:G21))</f>
        <v/>
      </c>
      <c r="I21" s="29" t="str">
        <f aca="false">IF($A21="","",SUMIFS(Diário!$G$5:$G$400,Diário!$A$5:$A$400,"&gt;="&amp;$A21,Diário!$A$5:$A$400,"&lt;="&amp;$B21))</f>
        <v/>
      </c>
      <c r="J21" s="30" t="str">
        <f aca="false">IF(A21="","",IF(H21=0,0,I21/H21))</f>
        <v/>
      </c>
      <c r="K21" s="14" t="str">
        <f aca="false">IF(A21="","",IF(I21=0,0,E21*Premissas!$C$5/I21))</f>
        <v/>
      </c>
      <c r="L21" s="31" t="str">
        <f aca="false">IF(A21="","",IF(I20=0,"n/d",I21/I20-1))</f>
        <v/>
      </c>
    </row>
    <row r="22" customFormat="false" ht="14.25" hidden="false" customHeight="false" outlineLevel="0" collapsed="false">
      <c r="A22" s="28" t="str">
        <f aca="false">IF(B21="","",IF(B21+1&gt;MAX(Diário!$A$5:$A$400),"",B21+1))</f>
        <v/>
      </c>
      <c r="B22" s="28" t="str">
        <f aca="false">IF(A22="","",A22+6)</f>
        <v/>
      </c>
      <c r="C22" s="13" t="str">
        <f aca="false">IF(A22="","",COUNTIFS(Diário!$A$5:$A$400,"&gt;="&amp;$A22,Diário!$A$5:$A$400,"&lt;="&amp;$B22))</f>
        <v/>
      </c>
      <c r="D22" s="13" t="str">
        <f aca="false">IF($A22="","",SUMIFS(Diário!$B$5:$B$400,Diário!$A$5:$A$400,"&gt;="&amp;$A22,Diário!$A$5:$A$400,"&lt;="&amp;$B22))</f>
        <v/>
      </c>
      <c r="E22" s="13" t="str">
        <f aca="false">IF($A22="","",SUMIFS(Diário!$E$5:$E$400,Diário!$A$5:$A$400,"&gt;="&amp;$A22,Diário!$A$5:$A$400,"&lt;="&amp;$B22))</f>
        <v/>
      </c>
      <c r="F22" s="13" t="str">
        <f aca="false">IF($A22="","",SUMIFS(Diário!$D$5:$D$400,Diário!$A$5:$A$400,"&gt;="&amp;$A22,Diário!$A$5:$A$400,"&lt;="&amp;$B22))</f>
        <v/>
      </c>
      <c r="G22" s="13" t="str">
        <f aca="false">IF($A22="","",SUMIFS(Diário!$C$5:$C$400,Diário!$A$5:$A$400,"&gt;="&amp;$A22,Diário!$A$5:$A$400,"&lt;="&amp;$B22))</f>
        <v/>
      </c>
      <c r="H22" s="13" t="str">
        <f aca="false">IF(A22="","",SUM(D22:G22))</f>
        <v/>
      </c>
      <c r="I22" s="29" t="str">
        <f aca="false">IF($A22="","",SUMIFS(Diário!$G$5:$G$400,Diário!$A$5:$A$400,"&gt;="&amp;$A22,Diário!$A$5:$A$400,"&lt;="&amp;$B22))</f>
        <v/>
      </c>
      <c r="J22" s="30" t="str">
        <f aca="false">IF(A22="","",IF(H22=0,0,I22/H22))</f>
        <v/>
      </c>
      <c r="K22" s="14" t="str">
        <f aca="false">IF(A22="","",IF(I22=0,0,E22*Premissas!$C$5/I22))</f>
        <v/>
      </c>
      <c r="L22" s="31" t="str">
        <f aca="false">IF(A22="","",IF(I21=0,"n/d",I22/I21-1))</f>
        <v/>
      </c>
    </row>
    <row r="23" customFormat="false" ht="14.25" hidden="false" customHeight="false" outlineLevel="0" collapsed="false">
      <c r="A23" s="28" t="str">
        <f aca="false">IF(B22="","",IF(B22+1&gt;MAX(Diário!$A$5:$A$400),"",B22+1))</f>
        <v/>
      </c>
      <c r="B23" s="28" t="str">
        <f aca="false">IF(A23="","",A23+6)</f>
        <v/>
      </c>
      <c r="C23" s="13" t="str">
        <f aca="false">IF(A23="","",COUNTIFS(Diário!$A$5:$A$400,"&gt;="&amp;$A23,Diário!$A$5:$A$400,"&lt;="&amp;$B23))</f>
        <v/>
      </c>
      <c r="D23" s="13" t="str">
        <f aca="false">IF($A23="","",SUMIFS(Diário!$B$5:$B$400,Diário!$A$5:$A$400,"&gt;="&amp;$A23,Diário!$A$5:$A$400,"&lt;="&amp;$B23))</f>
        <v/>
      </c>
      <c r="E23" s="13" t="str">
        <f aca="false">IF($A23="","",SUMIFS(Diário!$E$5:$E$400,Diário!$A$5:$A$400,"&gt;="&amp;$A23,Diário!$A$5:$A$400,"&lt;="&amp;$B23))</f>
        <v/>
      </c>
      <c r="F23" s="13" t="str">
        <f aca="false">IF($A23="","",SUMIFS(Diário!$D$5:$D$400,Diário!$A$5:$A$400,"&gt;="&amp;$A23,Diário!$A$5:$A$400,"&lt;="&amp;$B23))</f>
        <v/>
      </c>
      <c r="G23" s="13" t="str">
        <f aca="false">IF($A23="","",SUMIFS(Diário!$C$5:$C$400,Diário!$A$5:$A$400,"&gt;="&amp;$A23,Diário!$A$5:$A$400,"&lt;="&amp;$B23))</f>
        <v/>
      </c>
      <c r="H23" s="13" t="str">
        <f aca="false">IF(A23="","",SUM(D23:G23))</f>
        <v/>
      </c>
      <c r="I23" s="29" t="str">
        <f aca="false">IF($A23="","",SUMIFS(Diário!$G$5:$G$400,Diário!$A$5:$A$400,"&gt;="&amp;$A23,Diário!$A$5:$A$400,"&lt;="&amp;$B23))</f>
        <v/>
      </c>
      <c r="J23" s="30" t="str">
        <f aca="false">IF(A23="","",IF(H23=0,0,I23/H23))</f>
        <v/>
      </c>
      <c r="K23" s="14" t="str">
        <f aca="false">IF(A23="","",IF(I23=0,0,E23*Premissas!$C$5/I23))</f>
        <v/>
      </c>
      <c r="L23" s="31" t="str">
        <f aca="false">IF(A23="","",IF(I22=0,"n/d",I23/I22-1))</f>
        <v/>
      </c>
    </row>
    <row r="24" customFormat="false" ht="14.25" hidden="false" customHeight="false" outlineLevel="0" collapsed="false">
      <c r="A24" s="28" t="str">
        <f aca="false">IF(B23="","",IF(B23+1&gt;MAX(Diário!$A$5:$A$400),"",B23+1))</f>
        <v/>
      </c>
      <c r="B24" s="28" t="str">
        <f aca="false">IF(A24="","",A24+6)</f>
        <v/>
      </c>
      <c r="C24" s="13" t="str">
        <f aca="false">IF(A24="","",COUNTIFS(Diário!$A$5:$A$400,"&gt;="&amp;$A24,Diário!$A$5:$A$400,"&lt;="&amp;$B24))</f>
        <v/>
      </c>
      <c r="D24" s="13" t="str">
        <f aca="false">IF($A24="","",SUMIFS(Diário!$B$5:$B$400,Diário!$A$5:$A$400,"&gt;="&amp;$A24,Diário!$A$5:$A$400,"&lt;="&amp;$B24))</f>
        <v/>
      </c>
      <c r="E24" s="13" t="str">
        <f aca="false">IF($A24="","",SUMIFS(Diário!$E$5:$E$400,Diário!$A$5:$A$400,"&gt;="&amp;$A24,Diário!$A$5:$A$400,"&lt;="&amp;$B24))</f>
        <v/>
      </c>
      <c r="F24" s="13" t="str">
        <f aca="false">IF($A24="","",SUMIFS(Diário!$D$5:$D$400,Diário!$A$5:$A$400,"&gt;="&amp;$A24,Diário!$A$5:$A$400,"&lt;="&amp;$B24))</f>
        <v/>
      </c>
      <c r="G24" s="13" t="str">
        <f aca="false">IF($A24="","",SUMIFS(Diário!$C$5:$C$400,Diário!$A$5:$A$400,"&gt;="&amp;$A24,Diário!$A$5:$A$400,"&lt;="&amp;$B24))</f>
        <v/>
      </c>
      <c r="H24" s="13" t="str">
        <f aca="false">IF(A24="","",SUM(D24:G24))</f>
        <v/>
      </c>
      <c r="I24" s="29" t="str">
        <f aca="false">IF($A24="","",SUMIFS(Diário!$G$5:$G$400,Diário!$A$5:$A$400,"&gt;="&amp;$A24,Diário!$A$5:$A$400,"&lt;="&amp;$B24))</f>
        <v/>
      </c>
      <c r="J24" s="30" t="str">
        <f aca="false">IF(A24="","",IF(H24=0,0,I24/H24))</f>
        <v/>
      </c>
      <c r="K24" s="14" t="str">
        <f aca="false">IF(A24="","",IF(I24=0,0,E24*Premissas!$C$5/I24))</f>
        <v/>
      </c>
      <c r="L24" s="31" t="str">
        <f aca="false">IF(A24="","",IF(I23=0,"n/d",I24/I23-1))</f>
        <v/>
      </c>
    </row>
    <row r="25" customFormat="false" ht="14.25" hidden="false" customHeight="false" outlineLevel="0" collapsed="false">
      <c r="A25" s="28" t="str">
        <f aca="false">IF(B24="","",IF(B24+1&gt;MAX(Diário!$A$5:$A$400),"",B24+1))</f>
        <v/>
      </c>
      <c r="B25" s="28" t="str">
        <f aca="false">IF(A25="","",A25+6)</f>
        <v/>
      </c>
      <c r="C25" s="13" t="str">
        <f aca="false">IF(A25="","",COUNTIFS(Diário!$A$5:$A$400,"&gt;="&amp;$A25,Diário!$A$5:$A$400,"&lt;="&amp;$B25))</f>
        <v/>
      </c>
      <c r="D25" s="13" t="str">
        <f aca="false">IF($A25="","",SUMIFS(Diário!$B$5:$B$400,Diário!$A$5:$A$400,"&gt;="&amp;$A25,Diário!$A$5:$A$400,"&lt;="&amp;$B25))</f>
        <v/>
      </c>
      <c r="E25" s="13" t="str">
        <f aca="false">IF($A25="","",SUMIFS(Diário!$E$5:$E$400,Diário!$A$5:$A$400,"&gt;="&amp;$A25,Diário!$A$5:$A$400,"&lt;="&amp;$B25))</f>
        <v/>
      </c>
      <c r="F25" s="13" t="str">
        <f aca="false">IF($A25="","",SUMIFS(Diário!$D$5:$D$400,Diário!$A$5:$A$400,"&gt;="&amp;$A25,Diário!$A$5:$A$400,"&lt;="&amp;$B25))</f>
        <v/>
      </c>
      <c r="G25" s="13" t="str">
        <f aca="false">IF($A25="","",SUMIFS(Diário!$C$5:$C$400,Diário!$A$5:$A$400,"&gt;="&amp;$A25,Diário!$A$5:$A$400,"&lt;="&amp;$B25))</f>
        <v/>
      </c>
      <c r="H25" s="13" t="str">
        <f aca="false">IF(A25="","",SUM(D25:G25))</f>
        <v/>
      </c>
      <c r="I25" s="29" t="str">
        <f aca="false">IF($A25="","",SUMIFS(Diário!$G$5:$G$400,Diário!$A$5:$A$400,"&gt;="&amp;$A25,Diário!$A$5:$A$400,"&lt;="&amp;$B25))</f>
        <v/>
      </c>
      <c r="J25" s="30" t="str">
        <f aca="false">IF(A25="","",IF(H25=0,0,I25/H25))</f>
        <v/>
      </c>
      <c r="K25" s="14" t="str">
        <f aca="false">IF(A25="","",IF(I25=0,0,E25*Premissas!$C$5/I25))</f>
        <v/>
      </c>
      <c r="L25" s="31" t="str">
        <f aca="false">IF(A25="","",IF(I24=0,"n/d",I25/I24-1))</f>
        <v/>
      </c>
    </row>
    <row r="26" customFormat="false" ht="14.25" hidden="false" customHeight="false" outlineLevel="0" collapsed="false">
      <c r="A26" s="28" t="str">
        <f aca="false">IF(B25="","",IF(B25+1&gt;MAX(Diário!$A$5:$A$400),"",B25+1))</f>
        <v/>
      </c>
      <c r="B26" s="28" t="str">
        <f aca="false">IF(A26="","",A26+6)</f>
        <v/>
      </c>
      <c r="C26" s="13" t="str">
        <f aca="false">IF(A26="","",COUNTIFS(Diário!$A$5:$A$400,"&gt;="&amp;$A26,Diário!$A$5:$A$400,"&lt;="&amp;$B26))</f>
        <v/>
      </c>
      <c r="D26" s="13" t="str">
        <f aca="false">IF($A26="","",SUMIFS(Diário!$B$5:$B$400,Diário!$A$5:$A$400,"&gt;="&amp;$A26,Diário!$A$5:$A$400,"&lt;="&amp;$B26))</f>
        <v/>
      </c>
      <c r="E26" s="13" t="str">
        <f aca="false">IF($A26="","",SUMIFS(Diário!$E$5:$E$400,Diário!$A$5:$A$400,"&gt;="&amp;$A26,Diário!$A$5:$A$400,"&lt;="&amp;$B26))</f>
        <v/>
      </c>
      <c r="F26" s="13" t="str">
        <f aca="false">IF($A26="","",SUMIFS(Diário!$D$5:$D$400,Diário!$A$5:$A$400,"&gt;="&amp;$A26,Diário!$A$5:$A$400,"&lt;="&amp;$B26))</f>
        <v/>
      </c>
      <c r="G26" s="13" t="str">
        <f aca="false">IF($A26="","",SUMIFS(Diário!$C$5:$C$400,Diário!$A$5:$A$400,"&gt;="&amp;$A26,Diário!$A$5:$A$400,"&lt;="&amp;$B26))</f>
        <v/>
      </c>
      <c r="H26" s="13" t="str">
        <f aca="false">IF(A26="","",SUM(D26:G26))</f>
        <v/>
      </c>
      <c r="I26" s="29" t="str">
        <f aca="false">IF($A26="","",SUMIFS(Diário!$G$5:$G$400,Diário!$A$5:$A$400,"&gt;="&amp;$A26,Diário!$A$5:$A$400,"&lt;="&amp;$B26))</f>
        <v/>
      </c>
      <c r="J26" s="30" t="str">
        <f aca="false">IF(A26="","",IF(H26=0,0,I26/H26))</f>
        <v/>
      </c>
      <c r="K26" s="14" t="str">
        <f aca="false">IF(A26="","",IF(I26=0,0,E26*Premissas!$C$5/I26))</f>
        <v/>
      </c>
      <c r="L26" s="31" t="str">
        <f aca="false">IF(A26="","",IF(I25=0,"n/d",I26/I25-1))</f>
        <v/>
      </c>
    </row>
    <row r="27" customFormat="false" ht="14.25" hidden="false" customHeight="false" outlineLevel="0" collapsed="false">
      <c r="A27" s="28" t="str">
        <f aca="false">IF(B26="","",IF(B26+1&gt;MAX(Diário!$A$5:$A$400),"",B26+1))</f>
        <v/>
      </c>
      <c r="B27" s="28" t="str">
        <f aca="false">IF(A27="","",A27+6)</f>
        <v/>
      </c>
      <c r="C27" s="13" t="str">
        <f aca="false">IF(A27="","",COUNTIFS(Diário!$A$5:$A$400,"&gt;="&amp;$A27,Diário!$A$5:$A$400,"&lt;="&amp;$B27))</f>
        <v/>
      </c>
      <c r="D27" s="13" t="str">
        <f aca="false">IF($A27="","",SUMIFS(Diário!$B$5:$B$400,Diário!$A$5:$A$400,"&gt;="&amp;$A27,Diário!$A$5:$A$400,"&lt;="&amp;$B27))</f>
        <v/>
      </c>
      <c r="E27" s="13" t="str">
        <f aca="false">IF($A27="","",SUMIFS(Diário!$E$5:$E$400,Diário!$A$5:$A$400,"&gt;="&amp;$A27,Diário!$A$5:$A$400,"&lt;="&amp;$B27))</f>
        <v/>
      </c>
      <c r="F27" s="13" t="str">
        <f aca="false">IF($A27="","",SUMIFS(Diário!$D$5:$D$400,Diário!$A$5:$A$400,"&gt;="&amp;$A27,Diário!$A$5:$A$400,"&lt;="&amp;$B27))</f>
        <v/>
      </c>
      <c r="G27" s="13" t="str">
        <f aca="false">IF($A27="","",SUMIFS(Diário!$C$5:$C$400,Diário!$A$5:$A$400,"&gt;="&amp;$A27,Diário!$A$5:$A$400,"&lt;="&amp;$B27))</f>
        <v/>
      </c>
      <c r="H27" s="13" t="str">
        <f aca="false">IF(A27="","",SUM(D27:G27))</f>
        <v/>
      </c>
      <c r="I27" s="29" t="str">
        <f aca="false">IF($A27="","",SUMIFS(Diário!$G$5:$G$400,Diário!$A$5:$A$400,"&gt;="&amp;$A27,Diário!$A$5:$A$400,"&lt;="&amp;$B27))</f>
        <v/>
      </c>
      <c r="J27" s="30" t="str">
        <f aca="false">IF(A27="","",IF(H27=0,0,I27/H27))</f>
        <v/>
      </c>
      <c r="K27" s="14" t="str">
        <f aca="false">IF(A27="","",IF(I27=0,0,E27*Premissas!$C$5/I27))</f>
        <v/>
      </c>
      <c r="L27" s="31" t="str">
        <f aca="false">IF(A27="","",IF(I26=0,"n/d",I27/I26-1))</f>
        <v/>
      </c>
    </row>
    <row r="28" customFormat="false" ht="14.25" hidden="false" customHeight="false" outlineLevel="0" collapsed="false">
      <c r="A28" s="28" t="str">
        <f aca="false">IF(B27="","",IF(B27+1&gt;MAX(Diário!$A$5:$A$400),"",B27+1))</f>
        <v/>
      </c>
      <c r="B28" s="28" t="str">
        <f aca="false">IF(A28="","",A28+6)</f>
        <v/>
      </c>
      <c r="C28" s="13" t="str">
        <f aca="false">IF(A28="","",COUNTIFS(Diário!$A$5:$A$400,"&gt;="&amp;$A28,Diário!$A$5:$A$400,"&lt;="&amp;$B28))</f>
        <v/>
      </c>
      <c r="D28" s="13" t="str">
        <f aca="false">IF($A28="","",SUMIFS(Diário!$B$5:$B$400,Diário!$A$5:$A$400,"&gt;="&amp;$A28,Diário!$A$5:$A$400,"&lt;="&amp;$B28))</f>
        <v/>
      </c>
      <c r="E28" s="13" t="str">
        <f aca="false">IF($A28="","",SUMIFS(Diário!$E$5:$E$400,Diário!$A$5:$A$400,"&gt;="&amp;$A28,Diário!$A$5:$A$400,"&lt;="&amp;$B28))</f>
        <v/>
      </c>
      <c r="F28" s="13" t="str">
        <f aca="false">IF($A28="","",SUMIFS(Diário!$D$5:$D$400,Diário!$A$5:$A$400,"&gt;="&amp;$A28,Diário!$A$5:$A$400,"&lt;="&amp;$B28))</f>
        <v/>
      </c>
      <c r="G28" s="13" t="str">
        <f aca="false">IF($A28="","",SUMIFS(Diário!$C$5:$C$400,Diário!$A$5:$A$400,"&gt;="&amp;$A28,Diário!$A$5:$A$400,"&lt;="&amp;$B28))</f>
        <v/>
      </c>
      <c r="H28" s="13" t="str">
        <f aca="false">IF(A28="","",SUM(D28:G28))</f>
        <v/>
      </c>
      <c r="I28" s="29" t="str">
        <f aca="false">IF($A28="","",SUMIFS(Diário!$G$5:$G$400,Diário!$A$5:$A$400,"&gt;="&amp;$A28,Diário!$A$5:$A$400,"&lt;="&amp;$B28))</f>
        <v/>
      </c>
      <c r="J28" s="30" t="str">
        <f aca="false">IF(A28="","",IF(H28=0,0,I28/H28))</f>
        <v/>
      </c>
      <c r="K28" s="14" t="str">
        <f aca="false">IF(A28="","",IF(I28=0,0,E28*Premissas!$C$5/I28))</f>
        <v/>
      </c>
      <c r="L28" s="31" t="str">
        <f aca="false">IF(A28="","",IF(I27=0,"n/d",I28/I27-1))</f>
        <v/>
      </c>
    </row>
    <row r="29" customFormat="false" ht="14.25" hidden="false" customHeight="false" outlineLevel="0" collapsed="false">
      <c r="A29" s="28" t="str">
        <f aca="false">IF(B28="","",IF(B28+1&gt;MAX(Diário!$A$5:$A$400),"",B28+1))</f>
        <v/>
      </c>
      <c r="B29" s="28" t="str">
        <f aca="false">IF(A29="","",A29+6)</f>
        <v/>
      </c>
      <c r="C29" s="13" t="str">
        <f aca="false">IF(A29="","",COUNTIFS(Diário!$A$5:$A$400,"&gt;="&amp;$A29,Diário!$A$5:$A$400,"&lt;="&amp;$B29))</f>
        <v/>
      </c>
      <c r="D29" s="13" t="str">
        <f aca="false">IF($A29="","",SUMIFS(Diário!$B$5:$B$400,Diário!$A$5:$A$400,"&gt;="&amp;$A29,Diário!$A$5:$A$400,"&lt;="&amp;$B29))</f>
        <v/>
      </c>
      <c r="E29" s="13" t="str">
        <f aca="false">IF($A29="","",SUMIFS(Diário!$E$5:$E$400,Diário!$A$5:$A$400,"&gt;="&amp;$A29,Diário!$A$5:$A$400,"&lt;="&amp;$B29))</f>
        <v/>
      </c>
      <c r="F29" s="13" t="str">
        <f aca="false">IF($A29="","",SUMIFS(Diário!$D$5:$D$400,Diário!$A$5:$A$400,"&gt;="&amp;$A29,Diário!$A$5:$A$400,"&lt;="&amp;$B29))</f>
        <v/>
      </c>
      <c r="G29" s="13" t="str">
        <f aca="false">IF($A29="","",SUMIFS(Diário!$C$5:$C$400,Diário!$A$5:$A$400,"&gt;="&amp;$A29,Diário!$A$5:$A$400,"&lt;="&amp;$B29))</f>
        <v/>
      </c>
      <c r="H29" s="13" t="str">
        <f aca="false">IF(A29="","",SUM(D29:G29))</f>
        <v/>
      </c>
      <c r="I29" s="29" t="str">
        <f aca="false">IF($A29="","",SUMIFS(Diário!$G$5:$G$400,Diário!$A$5:$A$400,"&gt;="&amp;$A29,Diário!$A$5:$A$400,"&lt;="&amp;$B29))</f>
        <v/>
      </c>
      <c r="J29" s="30" t="str">
        <f aca="false">IF(A29="","",IF(H29=0,0,I29/H29))</f>
        <v/>
      </c>
      <c r="K29" s="14" t="str">
        <f aca="false">IF(A29="","",IF(I29=0,0,E29*Premissas!$C$5/I29))</f>
        <v/>
      </c>
      <c r="L29" s="31" t="str">
        <f aca="false">IF(A29="","",IF(I28=0,"n/d",I29/I28-1))</f>
        <v/>
      </c>
    </row>
    <row r="30" customFormat="false" ht="14.25" hidden="false" customHeight="false" outlineLevel="0" collapsed="false">
      <c r="A30" s="28" t="str">
        <f aca="false">IF(B29="","",IF(B29+1&gt;MAX(Diário!$A$5:$A$400),"",B29+1))</f>
        <v/>
      </c>
      <c r="B30" s="28" t="str">
        <f aca="false">IF(A30="","",A30+6)</f>
        <v/>
      </c>
      <c r="C30" s="13" t="str">
        <f aca="false">IF(A30="","",COUNTIFS(Diário!$A$5:$A$400,"&gt;="&amp;$A30,Diário!$A$5:$A$400,"&lt;="&amp;$B30))</f>
        <v/>
      </c>
      <c r="D30" s="13" t="str">
        <f aca="false">IF($A30="","",SUMIFS(Diário!$B$5:$B$400,Diário!$A$5:$A$400,"&gt;="&amp;$A30,Diário!$A$5:$A$400,"&lt;="&amp;$B30))</f>
        <v/>
      </c>
      <c r="E30" s="13" t="str">
        <f aca="false">IF($A30="","",SUMIFS(Diário!$E$5:$E$400,Diário!$A$5:$A$400,"&gt;="&amp;$A30,Diário!$A$5:$A$400,"&lt;="&amp;$B30))</f>
        <v/>
      </c>
      <c r="F30" s="13" t="str">
        <f aca="false">IF($A30="","",SUMIFS(Diário!$D$5:$D$400,Diário!$A$5:$A$400,"&gt;="&amp;$A30,Diário!$A$5:$A$400,"&lt;="&amp;$B30))</f>
        <v/>
      </c>
      <c r="G30" s="13" t="str">
        <f aca="false">IF($A30="","",SUMIFS(Diário!$C$5:$C$400,Diário!$A$5:$A$400,"&gt;="&amp;$A30,Diário!$A$5:$A$400,"&lt;="&amp;$B30))</f>
        <v/>
      </c>
      <c r="H30" s="13" t="str">
        <f aca="false">IF(A30="","",SUM(D30:G30))</f>
        <v/>
      </c>
      <c r="I30" s="29" t="str">
        <f aca="false">IF($A30="","",SUMIFS(Diário!$G$5:$G$400,Diário!$A$5:$A$400,"&gt;="&amp;$A30,Diário!$A$5:$A$400,"&lt;="&amp;$B30))</f>
        <v/>
      </c>
      <c r="J30" s="30" t="str">
        <f aca="false">IF(A30="","",IF(H30=0,0,I30/H30))</f>
        <v/>
      </c>
      <c r="K30" s="14" t="str">
        <f aca="false">IF(A30="","",IF(I30=0,0,E30*Premissas!$C$5/I30))</f>
        <v/>
      </c>
      <c r="L30" s="31" t="str">
        <f aca="false">IF(A30="","",IF(I29=0,"n/d",I30/I29-1))</f>
        <v/>
      </c>
    </row>
    <row r="31" customFormat="false" ht="14.25" hidden="false" customHeight="false" outlineLevel="0" collapsed="false">
      <c r="A31" s="28" t="str">
        <f aca="false">IF(B30="","",IF(B30+1&gt;MAX(Diário!$A$5:$A$400),"",B30+1))</f>
        <v/>
      </c>
      <c r="B31" s="28" t="str">
        <f aca="false">IF(A31="","",A31+6)</f>
        <v/>
      </c>
      <c r="C31" s="13" t="str">
        <f aca="false">IF(A31="","",COUNTIFS(Diário!$A$5:$A$400,"&gt;="&amp;$A31,Diário!$A$5:$A$400,"&lt;="&amp;$B31))</f>
        <v/>
      </c>
      <c r="D31" s="13" t="str">
        <f aca="false">IF($A31="","",SUMIFS(Diário!$B$5:$B$400,Diário!$A$5:$A$400,"&gt;="&amp;$A31,Diário!$A$5:$A$400,"&lt;="&amp;$B31))</f>
        <v/>
      </c>
      <c r="E31" s="13" t="str">
        <f aca="false">IF($A31="","",SUMIFS(Diário!$E$5:$E$400,Diário!$A$5:$A$400,"&gt;="&amp;$A31,Diário!$A$5:$A$400,"&lt;="&amp;$B31))</f>
        <v/>
      </c>
      <c r="F31" s="13" t="str">
        <f aca="false">IF($A31="","",SUMIFS(Diário!$D$5:$D$400,Diário!$A$5:$A$400,"&gt;="&amp;$A31,Diário!$A$5:$A$400,"&lt;="&amp;$B31))</f>
        <v/>
      </c>
      <c r="G31" s="13" t="str">
        <f aca="false">IF($A31="","",SUMIFS(Diário!$C$5:$C$400,Diário!$A$5:$A$400,"&gt;="&amp;$A31,Diário!$A$5:$A$400,"&lt;="&amp;$B31))</f>
        <v/>
      </c>
      <c r="H31" s="13" t="str">
        <f aca="false">IF(A31="","",SUM(D31:G31))</f>
        <v/>
      </c>
      <c r="I31" s="29" t="str">
        <f aca="false">IF($A31="","",SUMIFS(Diário!$G$5:$G$400,Diário!$A$5:$A$400,"&gt;="&amp;$A31,Diário!$A$5:$A$400,"&lt;="&amp;$B31))</f>
        <v/>
      </c>
      <c r="J31" s="30" t="str">
        <f aca="false">IF(A31="","",IF(H31=0,0,I31/H31))</f>
        <v/>
      </c>
      <c r="K31" s="14" t="str">
        <f aca="false">IF(A31="","",IF(I31=0,0,E31*Premissas!$C$5/I31))</f>
        <v/>
      </c>
      <c r="L31" s="31" t="str">
        <f aca="false">IF(A31="","",IF(I30=0,"n/d",I31/I30-1))</f>
        <v/>
      </c>
    </row>
    <row r="32" customFormat="false" ht="14.25" hidden="false" customHeight="false" outlineLevel="0" collapsed="false">
      <c r="A32" s="28" t="str">
        <f aca="false">IF(B31="","",IF(B31+1&gt;MAX(Diário!$A$5:$A$400),"",B31+1))</f>
        <v/>
      </c>
      <c r="B32" s="28" t="str">
        <f aca="false">IF(A32="","",A32+6)</f>
        <v/>
      </c>
      <c r="C32" s="13" t="str">
        <f aca="false">IF(A32="","",COUNTIFS(Diário!$A$5:$A$400,"&gt;="&amp;$A32,Diário!$A$5:$A$400,"&lt;="&amp;$B32))</f>
        <v/>
      </c>
      <c r="D32" s="13" t="str">
        <f aca="false">IF($A32="","",SUMIFS(Diário!$B$5:$B$400,Diário!$A$5:$A$400,"&gt;="&amp;$A32,Diário!$A$5:$A$400,"&lt;="&amp;$B32))</f>
        <v/>
      </c>
      <c r="E32" s="13" t="str">
        <f aca="false">IF($A32="","",SUMIFS(Diário!$E$5:$E$400,Diário!$A$5:$A$400,"&gt;="&amp;$A32,Diário!$A$5:$A$400,"&lt;="&amp;$B32))</f>
        <v/>
      </c>
      <c r="F32" s="13" t="str">
        <f aca="false">IF($A32="","",SUMIFS(Diário!$D$5:$D$400,Diário!$A$5:$A$400,"&gt;="&amp;$A32,Diário!$A$5:$A$400,"&lt;="&amp;$B32))</f>
        <v/>
      </c>
      <c r="G32" s="13" t="str">
        <f aca="false">IF($A32="","",SUMIFS(Diário!$C$5:$C$400,Diário!$A$5:$A$400,"&gt;="&amp;$A32,Diário!$A$5:$A$400,"&lt;="&amp;$B32))</f>
        <v/>
      </c>
      <c r="H32" s="13" t="str">
        <f aca="false">IF(A32="","",SUM(D32:G32))</f>
        <v/>
      </c>
      <c r="I32" s="29" t="str">
        <f aca="false">IF($A32="","",SUMIFS(Diário!$G$5:$G$400,Diário!$A$5:$A$400,"&gt;="&amp;$A32,Diário!$A$5:$A$400,"&lt;="&amp;$B32))</f>
        <v/>
      </c>
      <c r="J32" s="30" t="str">
        <f aca="false">IF(A32="","",IF(H32=0,0,I32/H32))</f>
        <v/>
      </c>
      <c r="K32" s="14" t="str">
        <f aca="false">IF(A32="","",IF(I32=0,0,E32*Premissas!$C$5/I32))</f>
        <v/>
      </c>
      <c r="L32" s="31" t="str">
        <f aca="false">IF(A32="","",IF(I31=0,"n/d",I32/I31-1))</f>
        <v/>
      </c>
    </row>
    <row r="33" customFormat="false" ht="14.25" hidden="false" customHeight="false" outlineLevel="0" collapsed="false">
      <c r="A33" s="28" t="str">
        <f aca="false">IF(B32="","",IF(B32+1&gt;MAX(Diário!$A$5:$A$400),"",B32+1))</f>
        <v/>
      </c>
      <c r="B33" s="28" t="str">
        <f aca="false">IF(A33="","",A33+6)</f>
        <v/>
      </c>
      <c r="C33" s="13" t="str">
        <f aca="false">IF(A33="","",COUNTIFS(Diário!$A$5:$A$400,"&gt;="&amp;$A33,Diário!$A$5:$A$400,"&lt;="&amp;$B33))</f>
        <v/>
      </c>
      <c r="D33" s="13" t="str">
        <f aca="false">IF($A33="","",SUMIFS(Diário!$B$5:$B$400,Diário!$A$5:$A$400,"&gt;="&amp;$A33,Diário!$A$5:$A$400,"&lt;="&amp;$B33))</f>
        <v/>
      </c>
      <c r="E33" s="13" t="str">
        <f aca="false">IF($A33="","",SUMIFS(Diário!$E$5:$E$400,Diário!$A$5:$A$400,"&gt;="&amp;$A33,Diário!$A$5:$A$400,"&lt;="&amp;$B33))</f>
        <v/>
      </c>
      <c r="F33" s="13" t="str">
        <f aca="false">IF($A33="","",SUMIFS(Diário!$D$5:$D$400,Diário!$A$5:$A$400,"&gt;="&amp;$A33,Diário!$A$5:$A$400,"&lt;="&amp;$B33))</f>
        <v/>
      </c>
      <c r="G33" s="13" t="str">
        <f aca="false">IF($A33="","",SUMIFS(Diário!$C$5:$C$400,Diário!$A$5:$A$400,"&gt;="&amp;$A33,Diário!$A$5:$A$400,"&lt;="&amp;$B33))</f>
        <v/>
      </c>
      <c r="H33" s="13" t="str">
        <f aca="false">IF(A33="","",SUM(D33:G33))</f>
        <v/>
      </c>
      <c r="I33" s="29" t="str">
        <f aca="false">IF($A33="","",SUMIFS(Diário!$G$5:$G$400,Diário!$A$5:$A$400,"&gt;="&amp;$A33,Diário!$A$5:$A$400,"&lt;="&amp;$B33))</f>
        <v/>
      </c>
      <c r="J33" s="30" t="str">
        <f aca="false">IF(A33="","",IF(H33=0,0,I33/H33))</f>
        <v/>
      </c>
      <c r="K33" s="14" t="str">
        <f aca="false">IF(A33="","",IF(I33=0,0,E33*Premissas!$C$5/I33))</f>
        <v/>
      </c>
      <c r="L33" s="31" t="str">
        <f aca="false">IF(A33="","",IF(I32=0,"n/d",I33/I32-1))</f>
        <v/>
      </c>
    </row>
    <row r="34" customFormat="false" ht="14.25" hidden="false" customHeight="false" outlineLevel="0" collapsed="false">
      <c r="A34" s="28" t="str">
        <f aca="false">IF(B33="","",IF(B33+1&gt;MAX(Diário!$A$5:$A$400),"",B33+1))</f>
        <v/>
      </c>
      <c r="B34" s="28" t="str">
        <f aca="false">IF(A34="","",A34+6)</f>
        <v/>
      </c>
      <c r="C34" s="13" t="str">
        <f aca="false">IF(A34="","",COUNTIFS(Diário!$A$5:$A$400,"&gt;="&amp;$A34,Diário!$A$5:$A$400,"&lt;="&amp;$B34))</f>
        <v/>
      </c>
      <c r="D34" s="13" t="str">
        <f aca="false">IF($A34="","",SUMIFS(Diário!$B$5:$B$400,Diário!$A$5:$A$400,"&gt;="&amp;$A34,Diário!$A$5:$A$400,"&lt;="&amp;$B34))</f>
        <v/>
      </c>
      <c r="E34" s="13" t="str">
        <f aca="false">IF($A34="","",SUMIFS(Diário!$E$5:$E$400,Diário!$A$5:$A$400,"&gt;="&amp;$A34,Diário!$A$5:$A$400,"&lt;="&amp;$B34))</f>
        <v/>
      </c>
      <c r="F34" s="13" t="str">
        <f aca="false">IF($A34="","",SUMIFS(Diário!$D$5:$D$400,Diário!$A$5:$A$400,"&gt;="&amp;$A34,Diário!$A$5:$A$400,"&lt;="&amp;$B34))</f>
        <v/>
      </c>
      <c r="G34" s="13" t="str">
        <f aca="false">IF($A34="","",SUMIFS(Diário!$C$5:$C$400,Diário!$A$5:$A$400,"&gt;="&amp;$A34,Diário!$A$5:$A$400,"&lt;="&amp;$B34))</f>
        <v/>
      </c>
      <c r="H34" s="13" t="str">
        <f aca="false">IF(A34="","",SUM(D34:G34))</f>
        <v/>
      </c>
      <c r="I34" s="29" t="str">
        <f aca="false">IF($A34="","",SUMIFS(Diário!$G$5:$G$400,Diário!$A$5:$A$400,"&gt;="&amp;$A34,Diário!$A$5:$A$400,"&lt;="&amp;$B34))</f>
        <v/>
      </c>
      <c r="J34" s="30" t="str">
        <f aca="false">IF(A34="","",IF(H34=0,0,I34/H34))</f>
        <v/>
      </c>
      <c r="K34" s="14" t="str">
        <f aca="false">IF(A34="","",IF(I34=0,0,E34*Premissas!$C$5/I34))</f>
        <v/>
      </c>
      <c r="L34" s="31" t="str">
        <f aca="false">IF(A34="","",IF(I33=0,"n/d",I34/I33-1))</f>
        <v/>
      </c>
    </row>
    <row r="35" customFormat="false" ht="14.25" hidden="false" customHeight="false" outlineLevel="0" collapsed="false">
      <c r="A35" s="28" t="str">
        <f aca="false">IF(B34="","",IF(B34+1&gt;MAX(Diário!$A$5:$A$400),"",B34+1))</f>
        <v/>
      </c>
      <c r="B35" s="28" t="str">
        <f aca="false">IF(A35="","",A35+6)</f>
        <v/>
      </c>
      <c r="C35" s="13" t="str">
        <f aca="false">IF(A35="","",COUNTIFS(Diário!$A$5:$A$400,"&gt;="&amp;$A35,Diário!$A$5:$A$400,"&lt;="&amp;$B35))</f>
        <v/>
      </c>
      <c r="D35" s="13" t="str">
        <f aca="false">IF($A35="","",SUMIFS(Diário!$B$5:$B$400,Diário!$A$5:$A$400,"&gt;="&amp;$A35,Diário!$A$5:$A$400,"&lt;="&amp;$B35))</f>
        <v/>
      </c>
      <c r="E35" s="13" t="str">
        <f aca="false">IF($A35="","",SUMIFS(Diário!$E$5:$E$400,Diário!$A$5:$A$400,"&gt;="&amp;$A35,Diário!$A$5:$A$400,"&lt;="&amp;$B35))</f>
        <v/>
      </c>
      <c r="F35" s="13" t="str">
        <f aca="false">IF($A35="","",SUMIFS(Diário!$D$5:$D$400,Diário!$A$5:$A$400,"&gt;="&amp;$A35,Diário!$A$5:$A$400,"&lt;="&amp;$B35))</f>
        <v/>
      </c>
      <c r="G35" s="13" t="str">
        <f aca="false">IF($A35="","",SUMIFS(Diário!$C$5:$C$400,Diário!$A$5:$A$400,"&gt;="&amp;$A35,Diário!$A$5:$A$400,"&lt;="&amp;$B35))</f>
        <v/>
      </c>
      <c r="H35" s="13" t="str">
        <f aca="false">IF(A35="","",SUM(D35:G35))</f>
        <v/>
      </c>
      <c r="I35" s="29" t="str">
        <f aca="false">IF($A35="","",SUMIFS(Diário!$G$5:$G$400,Diário!$A$5:$A$400,"&gt;="&amp;$A35,Diário!$A$5:$A$400,"&lt;="&amp;$B35))</f>
        <v/>
      </c>
      <c r="J35" s="30" t="str">
        <f aca="false">IF(A35="","",IF(H35=0,0,I35/H35))</f>
        <v/>
      </c>
      <c r="K35" s="14" t="str">
        <f aca="false">IF(A35="","",IF(I35=0,0,E35*Premissas!$C$5/I35))</f>
        <v/>
      </c>
      <c r="L35" s="31" t="str">
        <f aca="false">IF(A35="","",IF(I34=0,"n/d",I35/I34-1))</f>
        <v/>
      </c>
    </row>
    <row r="36" customFormat="false" ht="14.25" hidden="false" customHeight="false" outlineLevel="0" collapsed="false">
      <c r="A36" s="28" t="str">
        <f aca="false">IF(B35="","",IF(B35+1&gt;MAX(Diário!$A$5:$A$400),"",B35+1))</f>
        <v/>
      </c>
      <c r="B36" s="28" t="str">
        <f aca="false">IF(A36="","",A36+6)</f>
        <v/>
      </c>
      <c r="C36" s="13" t="str">
        <f aca="false">IF(A36="","",COUNTIFS(Diário!$A$5:$A$400,"&gt;="&amp;$A36,Diário!$A$5:$A$400,"&lt;="&amp;$B36))</f>
        <v/>
      </c>
      <c r="D36" s="13" t="str">
        <f aca="false">IF($A36="","",SUMIFS(Diário!$B$5:$B$400,Diário!$A$5:$A$400,"&gt;="&amp;$A36,Diário!$A$5:$A$400,"&lt;="&amp;$B36))</f>
        <v/>
      </c>
      <c r="E36" s="13" t="str">
        <f aca="false">IF($A36="","",SUMIFS(Diário!$E$5:$E$400,Diário!$A$5:$A$400,"&gt;="&amp;$A36,Diário!$A$5:$A$400,"&lt;="&amp;$B36))</f>
        <v/>
      </c>
      <c r="F36" s="13" t="str">
        <f aca="false">IF($A36="","",SUMIFS(Diário!$D$5:$D$400,Diário!$A$5:$A$400,"&gt;="&amp;$A36,Diário!$A$5:$A$400,"&lt;="&amp;$B36))</f>
        <v/>
      </c>
      <c r="G36" s="13" t="str">
        <f aca="false">IF($A36="","",SUMIFS(Diário!$C$5:$C$400,Diário!$A$5:$A$400,"&gt;="&amp;$A36,Diário!$A$5:$A$400,"&lt;="&amp;$B36))</f>
        <v/>
      </c>
      <c r="H36" s="13" t="str">
        <f aca="false">IF(A36="","",SUM(D36:G36))</f>
        <v/>
      </c>
      <c r="I36" s="29" t="str">
        <f aca="false">IF($A36="","",SUMIFS(Diário!$G$5:$G$400,Diário!$A$5:$A$400,"&gt;="&amp;$A36,Diário!$A$5:$A$400,"&lt;="&amp;$B36))</f>
        <v/>
      </c>
      <c r="J36" s="30" t="str">
        <f aca="false">IF(A36="","",IF(H36=0,0,I36/H36))</f>
        <v/>
      </c>
      <c r="K36" s="14" t="str">
        <f aca="false">IF(A36="","",IF(I36=0,0,E36*Premissas!$C$5/I36))</f>
        <v/>
      </c>
      <c r="L36" s="31" t="str">
        <f aca="false">IF(A36="","",IF(I35=0,"n/d",I36/I35-1))</f>
        <v/>
      </c>
    </row>
    <row r="37" customFormat="false" ht="14.25" hidden="false" customHeight="false" outlineLevel="0" collapsed="false">
      <c r="A37" s="28" t="str">
        <f aca="false">IF(B36="","",IF(B36+1&gt;MAX(Diário!$A$5:$A$400),"",B36+1))</f>
        <v/>
      </c>
      <c r="B37" s="28" t="str">
        <f aca="false">IF(A37="","",A37+6)</f>
        <v/>
      </c>
      <c r="C37" s="13" t="str">
        <f aca="false">IF(A37="","",COUNTIFS(Diário!$A$5:$A$400,"&gt;="&amp;$A37,Diário!$A$5:$A$400,"&lt;="&amp;$B37))</f>
        <v/>
      </c>
      <c r="D37" s="13" t="str">
        <f aca="false">IF($A37="","",SUMIFS(Diário!$B$5:$B$400,Diário!$A$5:$A$400,"&gt;="&amp;$A37,Diário!$A$5:$A$400,"&lt;="&amp;$B37))</f>
        <v/>
      </c>
      <c r="E37" s="13" t="str">
        <f aca="false">IF($A37="","",SUMIFS(Diário!$E$5:$E$400,Diário!$A$5:$A$400,"&gt;="&amp;$A37,Diário!$A$5:$A$400,"&lt;="&amp;$B37))</f>
        <v/>
      </c>
      <c r="F37" s="13" t="str">
        <f aca="false">IF($A37="","",SUMIFS(Diário!$D$5:$D$400,Diário!$A$5:$A$400,"&gt;="&amp;$A37,Diário!$A$5:$A$400,"&lt;="&amp;$B37))</f>
        <v/>
      </c>
      <c r="G37" s="13" t="str">
        <f aca="false">IF($A37="","",SUMIFS(Diário!$C$5:$C$400,Diário!$A$5:$A$400,"&gt;="&amp;$A37,Diário!$A$5:$A$400,"&lt;="&amp;$B37))</f>
        <v/>
      </c>
      <c r="H37" s="13" t="str">
        <f aca="false">IF(A37="","",SUM(D37:G37))</f>
        <v/>
      </c>
      <c r="I37" s="29" t="str">
        <f aca="false">IF($A37="","",SUMIFS(Diário!$G$5:$G$400,Diário!$A$5:$A$400,"&gt;="&amp;$A37,Diário!$A$5:$A$400,"&lt;="&amp;$B37))</f>
        <v/>
      </c>
      <c r="J37" s="30" t="str">
        <f aca="false">IF(A37="","",IF(H37=0,0,I37/H37))</f>
        <v/>
      </c>
      <c r="K37" s="14" t="str">
        <f aca="false">IF(A37="","",IF(I37=0,0,E37*Premissas!$C$5/I37))</f>
        <v/>
      </c>
      <c r="L37" s="31" t="str">
        <f aca="false">IF(A37="","",IF(I36=0,"n/d",I37/I36-1))</f>
        <v/>
      </c>
    </row>
    <row r="38" customFormat="false" ht="14.25" hidden="false" customHeight="false" outlineLevel="0" collapsed="false">
      <c r="A38" s="28" t="str">
        <f aca="false">IF(B37="","",IF(B37+1&gt;MAX(Diário!$A$5:$A$400),"",B37+1))</f>
        <v/>
      </c>
      <c r="B38" s="28" t="str">
        <f aca="false">IF(A38="","",A38+6)</f>
        <v/>
      </c>
      <c r="C38" s="13" t="str">
        <f aca="false">IF(A38="","",COUNTIFS(Diário!$A$5:$A$400,"&gt;="&amp;$A38,Diário!$A$5:$A$400,"&lt;="&amp;$B38))</f>
        <v/>
      </c>
      <c r="D38" s="13" t="str">
        <f aca="false">IF($A38="","",SUMIFS(Diário!$B$5:$B$400,Diário!$A$5:$A$400,"&gt;="&amp;$A38,Diário!$A$5:$A$400,"&lt;="&amp;$B38))</f>
        <v/>
      </c>
      <c r="E38" s="13" t="str">
        <f aca="false">IF($A38="","",SUMIFS(Diário!$E$5:$E$400,Diário!$A$5:$A$400,"&gt;="&amp;$A38,Diário!$A$5:$A$400,"&lt;="&amp;$B38))</f>
        <v/>
      </c>
      <c r="F38" s="13" t="str">
        <f aca="false">IF($A38="","",SUMIFS(Diário!$D$5:$D$400,Diário!$A$5:$A$400,"&gt;="&amp;$A38,Diário!$A$5:$A$400,"&lt;="&amp;$B38))</f>
        <v/>
      </c>
      <c r="G38" s="13" t="str">
        <f aca="false">IF($A38="","",SUMIFS(Diário!$C$5:$C$400,Diário!$A$5:$A$400,"&gt;="&amp;$A38,Diário!$A$5:$A$400,"&lt;="&amp;$B38))</f>
        <v/>
      </c>
      <c r="H38" s="13" t="str">
        <f aca="false">IF(A38="","",SUM(D38:G38))</f>
        <v/>
      </c>
      <c r="I38" s="29" t="str">
        <f aca="false">IF($A38="","",SUMIFS(Diário!$G$5:$G$400,Diário!$A$5:$A$400,"&gt;="&amp;$A38,Diário!$A$5:$A$400,"&lt;="&amp;$B38))</f>
        <v/>
      </c>
      <c r="J38" s="30" t="str">
        <f aca="false">IF(A38="","",IF(H38=0,0,I38/H38))</f>
        <v/>
      </c>
      <c r="K38" s="14" t="str">
        <f aca="false">IF(A38="","",IF(I38=0,0,E38*Premissas!$C$5/I38))</f>
        <v/>
      </c>
      <c r="L38" s="31" t="str">
        <f aca="false">IF(A38="","",IF(I37=0,"n/d",I38/I37-1))</f>
        <v/>
      </c>
    </row>
    <row r="39" customFormat="false" ht="14.25" hidden="false" customHeight="false" outlineLevel="0" collapsed="false">
      <c r="A39" s="28" t="str">
        <f aca="false">IF(B38="","",IF(B38+1&gt;MAX(Diário!$A$5:$A$400),"",B38+1))</f>
        <v/>
      </c>
      <c r="B39" s="28" t="str">
        <f aca="false">IF(A39="","",A39+6)</f>
        <v/>
      </c>
      <c r="C39" s="13" t="str">
        <f aca="false">IF(A39="","",COUNTIFS(Diário!$A$5:$A$400,"&gt;="&amp;$A39,Diário!$A$5:$A$400,"&lt;="&amp;$B39))</f>
        <v/>
      </c>
      <c r="D39" s="13" t="str">
        <f aca="false">IF($A39="","",SUMIFS(Diário!$B$5:$B$400,Diário!$A$5:$A$400,"&gt;="&amp;$A39,Diário!$A$5:$A$400,"&lt;="&amp;$B39))</f>
        <v/>
      </c>
      <c r="E39" s="13" t="str">
        <f aca="false">IF($A39="","",SUMIFS(Diário!$E$5:$E$400,Diário!$A$5:$A$400,"&gt;="&amp;$A39,Diário!$A$5:$A$400,"&lt;="&amp;$B39))</f>
        <v/>
      </c>
      <c r="F39" s="13" t="str">
        <f aca="false">IF($A39="","",SUMIFS(Diário!$D$5:$D$400,Diário!$A$5:$A$400,"&gt;="&amp;$A39,Diário!$A$5:$A$400,"&lt;="&amp;$B39))</f>
        <v/>
      </c>
      <c r="G39" s="13" t="str">
        <f aca="false">IF($A39="","",SUMIFS(Diário!$C$5:$C$400,Diário!$A$5:$A$400,"&gt;="&amp;$A39,Diário!$A$5:$A$400,"&lt;="&amp;$B39))</f>
        <v/>
      </c>
      <c r="H39" s="13" t="str">
        <f aca="false">IF(A39="","",SUM(D39:G39))</f>
        <v/>
      </c>
      <c r="I39" s="29" t="str">
        <f aca="false">IF($A39="","",SUMIFS(Diário!$G$5:$G$400,Diário!$A$5:$A$400,"&gt;="&amp;$A39,Diário!$A$5:$A$400,"&lt;="&amp;$B39))</f>
        <v/>
      </c>
      <c r="J39" s="30" t="str">
        <f aca="false">IF(A39="","",IF(H39=0,0,I39/H39))</f>
        <v/>
      </c>
      <c r="K39" s="14" t="str">
        <f aca="false">IF(A39="","",IF(I39=0,0,E39*Premissas!$C$5/I39))</f>
        <v/>
      </c>
      <c r="L39" s="31" t="str">
        <f aca="false">IF(A39="","",IF(I38=0,"n/d",I39/I38-1))</f>
        <v/>
      </c>
    </row>
    <row r="40" customFormat="false" ht="14.25" hidden="false" customHeight="false" outlineLevel="0" collapsed="false">
      <c r="A40" s="28" t="str">
        <f aca="false">IF(B39="","",IF(B39+1&gt;MAX(Diário!$A$5:$A$400),"",B39+1))</f>
        <v/>
      </c>
      <c r="B40" s="28" t="str">
        <f aca="false">IF(A40="","",A40+6)</f>
        <v/>
      </c>
      <c r="C40" s="13" t="str">
        <f aca="false">IF(A40="","",COUNTIFS(Diário!$A$5:$A$400,"&gt;="&amp;$A40,Diário!$A$5:$A$400,"&lt;="&amp;$B40))</f>
        <v/>
      </c>
      <c r="D40" s="13" t="str">
        <f aca="false">IF($A40="","",SUMIFS(Diário!$B$5:$B$400,Diário!$A$5:$A$400,"&gt;="&amp;$A40,Diário!$A$5:$A$400,"&lt;="&amp;$B40))</f>
        <v/>
      </c>
      <c r="E40" s="13" t="str">
        <f aca="false">IF($A40="","",SUMIFS(Diário!$E$5:$E$400,Diário!$A$5:$A$400,"&gt;="&amp;$A40,Diário!$A$5:$A$400,"&lt;="&amp;$B40))</f>
        <v/>
      </c>
      <c r="F40" s="13" t="str">
        <f aca="false">IF($A40="","",SUMIFS(Diário!$D$5:$D$400,Diário!$A$5:$A$400,"&gt;="&amp;$A40,Diário!$A$5:$A$400,"&lt;="&amp;$B40))</f>
        <v/>
      </c>
      <c r="G40" s="13" t="str">
        <f aca="false">IF($A40="","",SUMIFS(Diário!$C$5:$C$400,Diário!$A$5:$A$400,"&gt;="&amp;$A40,Diário!$A$5:$A$400,"&lt;="&amp;$B40))</f>
        <v/>
      </c>
      <c r="H40" s="13" t="str">
        <f aca="false">IF(A40="","",SUM(D40:G40))</f>
        <v/>
      </c>
      <c r="I40" s="29" t="str">
        <f aca="false">IF($A40="","",SUMIFS(Diário!$G$5:$G$400,Diário!$A$5:$A$400,"&gt;="&amp;$A40,Diário!$A$5:$A$400,"&lt;="&amp;$B40))</f>
        <v/>
      </c>
      <c r="J40" s="30" t="str">
        <f aca="false">IF(A40="","",IF(H40=0,0,I40/H40))</f>
        <v/>
      </c>
      <c r="K40" s="14" t="str">
        <f aca="false">IF(A40="","",IF(I40=0,0,E40*Premissas!$C$5/I40))</f>
        <v/>
      </c>
      <c r="L40" s="31" t="str">
        <f aca="false">IF(A40="","",IF(I39=0,"n/d",I40/I39-1))</f>
        <v/>
      </c>
    </row>
    <row r="41" customFormat="false" ht="14.25" hidden="false" customHeight="false" outlineLevel="0" collapsed="false">
      <c r="A41" s="28" t="str">
        <f aca="false">IF(B40="","",IF(B40+1&gt;MAX(Diário!$A$5:$A$400),"",B40+1))</f>
        <v/>
      </c>
      <c r="B41" s="28" t="str">
        <f aca="false">IF(A41="","",A41+6)</f>
        <v/>
      </c>
      <c r="C41" s="13" t="str">
        <f aca="false">IF(A41="","",COUNTIFS(Diário!$A$5:$A$400,"&gt;="&amp;$A41,Diário!$A$5:$A$400,"&lt;="&amp;$B41))</f>
        <v/>
      </c>
      <c r="D41" s="13" t="str">
        <f aca="false">IF($A41="","",SUMIFS(Diário!$B$5:$B$400,Diário!$A$5:$A$400,"&gt;="&amp;$A41,Diário!$A$5:$A$400,"&lt;="&amp;$B41))</f>
        <v/>
      </c>
      <c r="E41" s="13" t="str">
        <f aca="false">IF($A41="","",SUMIFS(Diário!$E$5:$E$400,Diário!$A$5:$A$400,"&gt;="&amp;$A41,Diário!$A$5:$A$400,"&lt;="&amp;$B41))</f>
        <v/>
      </c>
      <c r="F41" s="13" t="str">
        <f aca="false">IF($A41="","",SUMIFS(Diário!$D$5:$D$400,Diário!$A$5:$A$400,"&gt;="&amp;$A41,Diário!$A$5:$A$400,"&lt;="&amp;$B41))</f>
        <v/>
      </c>
      <c r="G41" s="13" t="str">
        <f aca="false">IF($A41="","",SUMIFS(Diário!$C$5:$C$400,Diário!$A$5:$A$400,"&gt;="&amp;$A41,Diário!$A$5:$A$400,"&lt;="&amp;$B41))</f>
        <v/>
      </c>
      <c r="H41" s="13" t="str">
        <f aca="false">IF(A41="","",SUM(D41:G41))</f>
        <v/>
      </c>
      <c r="I41" s="29" t="str">
        <f aca="false">IF($A41="","",SUMIFS(Diário!$G$5:$G$400,Diário!$A$5:$A$400,"&gt;="&amp;$A41,Diário!$A$5:$A$400,"&lt;="&amp;$B41))</f>
        <v/>
      </c>
      <c r="J41" s="30" t="str">
        <f aca="false">IF(A41="","",IF(H41=0,0,I41/H41))</f>
        <v/>
      </c>
      <c r="K41" s="14" t="str">
        <f aca="false">IF(A41="","",IF(I41=0,0,E41*Premissas!$C$5/I41))</f>
        <v/>
      </c>
      <c r="L41" s="31" t="str">
        <f aca="false">IF(A41="","",IF(I40=0,"n/d",I41/I40-1))</f>
        <v/>
      </c>
    </row>
    <row r="42" customFormat="false" ht="14.25" hidden="false" customHeight="false" outlineLevel="0" collapsed="false">
      <c r="A42" s="28" t="str">
        <f aca="false">IF(B41="","",IF(B41+1&gt;MAX(Diário!$A$5:$A$400),"",B41+1))</f>
        <v/>
      </c>
      <c r="B42" s="28" t="str">
        <f aca="false">IF(A42="","",A42+6)</f>
        <v/>
      </c>
      <c r="C42" s="13" t="str">
        <f aca="false">IF(A42="","",COUNTIFS(Diário!$A$5:$A$400,"&gt;="&amp;$A42,Diário!$A$5:$A$400,"&lt;="&amp;$B42))</f>
        <v/>
      </c>
      <c r="D42" s="13" t="str">
        <f aca="false">IF($A42="","",SUMIFS(Diário!$B$5:$B$400,Diário!$A$5:$A$400,"&gt;="&amp;$A42,Diário!$A$5:$A$400,"&lt;="&amp;$B42))</f>
        <v/>
      </c>
      <c r="E42" s="13" t="str">
        <f aca="false">IF($A42="","",SUMIFS(Diário!$E$5:$E$400,Diário!$A$5:$A$400,"&gt;="&amp;$A42,Diário!$A$5:$A$400,"&lt;="&amp;$B42))</f>
        <v/>
      </c>
      <c r="F42" s="13" t="str">
        <f aca="false">IF($A42="","",SUMIFS(Diário!$D$5:$D$400,Diário!$A$5:$A$400,"&gt;="&amp;$A42,Diário!$A$5:$A$400,"&lt;="&amp;$B42))</f>
        <v/>
      </c>
      <c r="G42" s="13" t="str">
        <f aca="false">IF($A42="","",SUMIFS(Diário!$C$5:$C$400,Diário!$A$5:$A$400,"&gt;="&amp;$A42,Diário!$A$5:$A$400,"&lt;="&amp;$B42))</f>
        <v/>
      </c>
      <c r="H42" s="13" t="str">
        <f aca="false">IF(A42="","",SUM(D42:G42))</f>
        <v/>
      </c>
      <c r="I42" s="29" t="str">
        <f aca="false">IF($A42="","",SUMIFS(Diário!$G$5:$G$400,Diário!$A$5:$A$400,"&gt;="&amp;$A42,Diário!$A$5:$A$400,"&lt;="&amp;$B42))</f>
        <v/>
      </c>
      <c r="J42" s="30" t="str">
        <f aca="false">IF(A42="","",IF(H42=0,0,I42/H42))</f>
        <v/>
      </c>
      <c r="K42" s="14" t="str">
        <f aca="false">IF(A42="","",IF(I42=0,0,E42*Premissas!$C$5/I42))</f>
        <v/>
      </c>
      <c r="L42" s="31" t="str">
        <f aca="false">IF(A42="","",IF(I41=0,"n/d",I42/I41-1))</f>
        <v/>
      </c>
    </row>
    <row r="43" customFormat="false" ht="14.25" hidden="false" customHeight="false" outlineLevel="0" collapsed="false">
      <c r="A43" s="28" t="str">
        <f aca="false">IF(B42="","",IF(B42+1&gt;MAX(Diário!$A$5:$A$400),"",B42+1))</f>
        <v/>
      </c>
      <c r="B43" s="28" t="str">
        <f aca="false">IF(A43="","",A43+6)</f>
        <v/>
      </c>
      <c r="C43" s="13" t="str">
        <f aca="false">IF(A43="","",COUNTIFS(Diário!$A$5:$A$400,"&gt;="&amp;$A43,Diário!$A$5:$A$400,"&lt;="&amp;$B43))</f>
        <v/>
      </c>
      <c r="D43" s="13" t="str">
        <f aca="false">IF($A43="","",SUMIFS(Diário!$B$5:$B$400,Diário!$A$5:$A$400,"&gt;="&amp;$A43,Diário!$A$5:$A$400,"&lt;="&amp;$B43))</f>
        <v/>
      </c>
      <c r="E43" s="13" t="str">
        <f aca="false">IF($A43="","",SUMIFS(Diário!$E$5:$E$400,Diário!$A$5:$A$400,"&gt;="&amp;$A43,Diário!$A$5:$A$400,"&lt;="&amp;$B43))</f>
        <v/>
      </c>
      <c r="F43" s="13" t="str">
        <f aca="false">IF($A43="","",SUMIFS(Diário!$D$5:$D$400,Diário!$A$5:$A$400,"&gt;="&amp;$A43,Diário!$A$5:$A$400,"&lt;="&amp;$B43))</f>
        <v/>
      </c>
      <c r="G43" s="13" t="str">
        <f aca="false">IF($A43="","",SUMIFS(Diário!$C$5:$C$400,Diário!$A$5:$A$400,"&gt;="&amp;$A43,Diário!$A$5:$A$400,"&lt;="&amp;$B43))</f>
        <v/>
      </c>
      <c r="H43" s="13" t="str">
        <f aca="false">IF(A43="","",SUM(D43:G43))</f>
        <v/>
      </c>
      <c r="I43" s="29" t="str">
        <f aca="false">IF($A43="","",SUMIFS(Diário!$G$5:$G$400,Diário!$A$5:$A$400,"&gt;="&amp;$A43,Diário!$A$5:$A$400,"&lt;="&amp;$B43))</f>
        <v/>
      </c>
      <c r="J43" s="30" t="str">
        <f aca="false">IF(A43="","",IF(H43=0,0,I43/H43))</f>
        <v/>
      </c>
      <c r="K43" s="14" t="str">
        <f aca="false">IF(A43="","",IF(I43=0,0,E43*Premissas!$C$5/I43))</f>
        <v/>
      </c>
      <c r="L43" s="31" t="str">
        <f aca="false">IF(A43="","",IF(I42=0,"n/d",I43/I42-1))</f>
        <v/>
      </c>
    </row>
    <row r="44" customFormat="false" ht="14.25" hidden="false" customHeight="false" outlineLevel="0" collapsed="false">
      <c r="A44" s="28" t="str">
        <f aca="false">IF(B43="","",IF(B43+1&gt;MAX(Diário!$A$5:$A$400),"",B43+1))</f>
        <v/>
      </c>
      <c r="B44" s="28" t="str">
        <f aca="false">IF(A44="","",A44+6)</f>
        <v/>
      </c>
      <c r="C44" s="13" t="str">
        <f aca="false">IF(A44="","",COUNTIFS(Diário!$A$5:$A$400,"&gt;="&amp;$A44,Diário!$A$5:$A$400,"&lt;="&amp;$B44))</f>
        <v/>
      </c>
      <c r="D44" s="13" t="str">
        <f aca="false">IF($A44="","",SUMIFS(Diário!$B$5:$B$400,Diário!$A$5:$A$400,"&gt;="&amp;$A44,Diário!$A$5:$A$400,"&lt;="&amp;$B44))</f>
        <v/>
      </c>
      <c r="E44" s="13" t="str">
        <f aca="false">IF($A44="","",SUMIFS(Diário!$E$5:$E$400,Diário!$A$5:$A$400,"&gt;="&amp;$A44,Diário!$A$5:$A$400,"&lt;="&amp;$B44))</f>
        <v/>
      </c>
      <c r="F44" s="13" t="str">
        <f aca="false">IF($A44="","",SUMIFS(Diário!$D$5:$D$400,Diário!$A$5:$A$400,"&gt;="&amp;$A44,Diário!$A$5:$A$400,"&lt;="&amp;$B44))</f>
        <v/>
      </c>
      <c r="G44" s="13" t="str">
        <f aca="false">IF($A44="","",SUMIFS(Diário!$C$5:$C$400,Diário!$A$5:$A$400,"&gt;="&amp;$A44,Diário!$A$5:$A$400,"&lt;="&amp;$B44))</f>
        <v/>
      </c>
      <c r="H44" s="13" t="str">
        <f aca="false">IF(A44="","",SUM(D44:G44))</f>
        <v/>
      </c>
      <c r="I44" s="29" t="str">
        <f aca="false">IF($A44="","",SUMIFS(Diário!$G$5:$G$400,Diário!$A$5:$A$400,"&gt;="&amp;$A44,Diário!$A$5:$A$400,"&lt;="&amp;$B44))</f>
        <v/>
      </c>
      <c r="J44" s="30" t="str">
        <f aca="false">IF(A44="","",IF(H44=0,0,I44/H44))</f>
        <v/>
      </c>
      <c r="K44" s="14" t="str">
        <f aca="false">IF(A44="","",IF(I44=0,0,E44*Premissas!$C$5/I44))</f>
        <v/>
      </c>
      <c r="L44" s="31" t="str">
        <f aca="false">IF(A44="","",IF(I43=0,"n/d",I44/I43-1))</f>
        <v/>
      </c>
    </row>
    <row r="45" customFormat="false" ht="14.25" hidden="false" customHeight="false" outlineLevel="0" collapsed="false">
      <c r="A45" s="28" t="str">
        <f aca="false">IF(B44="","",IF(B44+1&gt;MAX(Diário!$A$5:$A$400),"",B44+1))</f>
        <v/>
      </c>
      <c r="B45" s="28" t="str">
        <f aca="false">IF(A45="","",A45+6)</f>
        <v/>
      </c>
      <c r="C45" s="13" t="str">
        <f aca="false">IF(A45="","",COUNTIFS(Diário!$A$5:$A$400,"&gt;="&amp;$A45,Diário!$A$5:$A$400,"&lt;="&amp;$B45))</f>
        <v/>
      </c>
      <c r="D45" s="13" t="str">
        <f aca="false">IF($A45="","",SUMIFS(Diário!$B$5:$B$400,Diário!$A$5:$A$400,"&gt;="&amp;$A45,Diário!$A$5:$A$400,"&lt;="&amp;$B45))</f>
        <v/>
      </c>
      <c r="E45" s="13" t="str">
        <f aca="false">IF($A45="","",SUMIFS(Diário!$E$5:$E$400,Diário!$A$5:$A$400,"&gt;="&amp;$A45,Diário!$A$5:$A$400,"&lt;="&amp;$B45))</f>
        <v/>
      </c>
      <c r="F45" s="13" t="str">
        <f aca="false">IF($A45="","",SUMIFS(Diário!$D$5:$D$400,Diário!$A$5:$A$400,"&gt;="&amp;$A45,Diário!$A$5:$A$400,"&lt;="&amp;$B45))</f>
        <v/>
      </c>
      <c r="G45" s="13" t="str">
        <f aca="false">IF($A45="","",SUMIFS(Diário!$C$5:$C$400,Diário!$A$5:$A$400,"&gt;="&amp;$A45,Diário!$A$5:$A$400,"&lt;="&amp;$B45))</f>
        <v/>
      </c>
      <c r="H45" s="13" t="str">
        <f aca="false">IF(A45="","",SUM(D45:G45))</f>
        <v/>
      </c>
      <c r="I45" s="29" t="str">
        <f aca="false">IF($A45="","",SUMIFS(Diário!$G$5:$G$400,Diário!$A$5:$A$400,"&gt;="&amp;$A45,Diário!$A$5:$A$400,"&lt;="&amp;$B45))</f>
        <v/>
      </c>
      <c r="J45" s="30" t="str">
        <f aca="false">IF(A45="","",IF(H45=0,0,I45/H45))</f>
        <v/>
      </c>
      <c r="K45" s="14" t="str">
        <f aca="false">IF(A45="","",IF(I45=0,0,E45*Premissas!$C$5/I45))</f>
        <v/>
      </c>
      <c r="L45" s="31" t="str">
        <f aca="false">IF(A45="","",IF(I44=0,"n/d",I45/I44-1))</f>
        <v/>
      </c>
    </row>
    <row r="46" customFormat="false" ht="14.25" hidden="false" customHeight="false" outlineLevel="0" collapsed="false">
      <c r="A46" s="28" t="str">
        <f aca="false">IF(B45="","",IF(B45+1&gt;MAX(Diário!$A$5:$A$400),"",B45+1))</f>
        <v/>
      </c>
      <c r="B46" s="28" t="str">
        <f aca="false">IF(A46="","",A46+6)</f>
        <v/>
      </c>
      <c r="C46" s="13" t="str">
        <f aca="false">IF(A46="","",COUNTIFS(Diário!$A$5:$A$400,"&gt;="&amp;$A46,Diário!$A$5:$A$400,"&lt;="&amp;$B46))</f>
        <v/>
      </c>
      <c r="D46" s="13" t="str">
        <f aca="false">IF($A46="","",SUMIFS(Diário!$B$5:$B$400,Diário!$A$5:$A$400,"&gt;="&amp;$A46,Diário!$A$5:$A$400,"&lt;="&amp;$B46))</f>
        <v/>
      </c>
      <c r="E46" s="13" t="str">
        <f aca="false">IF($A46="","",SUMIFS(Diário!$E$5:$E$400,Diário!$A$5:$A$400,"&gt;="&amp;$A46,Diário!$A$5:$A$400,"&lt;="&amp;$B46))</f>
        <v/>
      </c>
      <c r="F46" s="13" t="str">
        <f aca="false">IF($A46="","",SUMIFS(Diário!$D$5:$D$400,Diário!$A$5:$A$400,"&gt;="&amp;$A46,Diário!$A$5:$A$400,"&lt;="&amp;$B46))</f>
        <v/>
      </c>
      <c r="G46" s="13" t="str">
        <f aca="false">IF($A46="","",SUMIFS(Diário!$C$5:$C$400,Diário!$A$5:$A$400,"&gt;="&amp;$A46,Diário!$A$5:$A$400,"&lt;="&amp;$B46))</f>
        <v/>
      </c>
      <c r="H46" s="13" t="str">
        <f aca="false">IF(A46="","",SUM(D46:G46))</f>
        <v/>
      </c>
      <c r="I46" s="29" t="str">
        <f aca="false">IF($A46="","",SUMIFS(Diário!$G$5:$G$400,Diário!$A$5:$A$400,"&gt;="&amp;$A46,Diário!$A$5:$A$400,"&lt;="&amp;$B46))</f>
        <v/>
      </c>
      <c r="J46" s="30" t="str">
        <f aca="false">IF(A46="","",IF(H46=0,0,I46/H46))</f>
        <v/>
      </c>
      <c r="K46" s="14" t="str">
        <f aca="false">IF(A46="","",IF(I46=0,0,E46*Premissas!$C$5/I46))</f>
        <v/>
      </c>
      <c r="L46" s="31" t="str">
        <f aca="false">IF(A46="","",IF(I45=0,"n/d",I46/I45-1))</f>
        <v/>
      </c>
    </row>
    <row r="47" customFormat="false" ht="14.25" hidden="false" customHeight="false" outlineLevel="0" collapsed="false">
      <c r="A47" s="28" t="str">
        <f aca="false">IF(B46="","",IF(B46+1&gt;MAX(Diário!$A$5:$A$400),"",B46+1))</f>
        <v/>
      </c>
      <c r="B47" s="28" t="str">
        <f aca="false">IF(A47="","",A47+6)</f>
        <v/>
      </c>
      <c r="C47" s="13" t="str">
        <f aca="false">IF(A47="","",COUNTIFS(Diário!$A$5:$A$400,"&gt;="&amp;$A47,Diário!$A$5:$A$400,"&lt;="&amp;$B47))</f>
        <v/>
      </c>
      <c r="D47" s="13" t="str">
        <f aca="false">IF($A47="","",SUMIFS(Diário!$B$5:$B$400,Diário!$A$5:$A$400,"&gt;="&amp;$A47,Diário!$A$5:$A$400,"&lt;="&amp;$B47))</f>
        <v/>
      </c>
      <c r="E47" s="13" t="str">
        <f aca="false">IF($A47="","",SUMIFS(Diário!$E$5:$E$400,Diário!$A$5:$A$400,"&gt;="&amp;$A47,Diário!$A$5:$A$400,"&lt;="&amp;$B47))</f>
        <v/>
      </c>
      <c r="F47" s="13" t="str">
        <f aca="false">IF($A47="","",SUMIFS(Diário!$D$5:$D$400,Diário!$A$5:$A$400,"&gt;="&amp;$A47,Diário!$A$5:$A$400,"&lt;="&amp;$B47))</f>
        <v/>
      </c>
      <c r="G47" s="13" t="str">
        <f aca="false">IF($A47="","",SUMIFS(Diário!$C$5:$C$400,Diário!$A$5:$A$400,"&gt;="&amp;$A47,Diário!$A$5:$A$400,"&lt;="&amp;$B47))</f>
        <v/>
      </c>
      <c r="H47" s="13" t="str">
        <f aca="false">IF(A47="","",SUM(D47:G47))</f>
        <v/>
      </c>
      <c r="I47" s="29" t="str">
        <f aca="false">IF($A47="","",SUMIFS(Diário!$G$5:$G$400,Diário!$A$5:$A$400,"&gt;="&amp;$A47,Diário!$A$5:$A$400,"&lt;="&amp;$B47))</f>
        <v/>
      </c>
      <c r="J47" s="30" t="str">
        <f aca="false">IF(A47="","",IF(H47=0,0,I47/H47))</f>
        <v/>
      </c>
      <c r="K47" s="14" t="str">
        <f aca="false">IF(A47="","",IF(I47=0,0,E47*Premissas!$C$5/I47))</f>
        <v/>
      </c>
      <c r="L47" s="31" t="str">
        <f aca="false">IF(A47="","",IF(I46=0,"n/d",I47/I46-1))</f>
        <v/>
      </c>
    </row>
    <row r="48" customFormat="false" ht="14.25" hidden="false" customHeight="false" outlineLevel="0" collapsed="false">
      <c r="A48" s="28" t="str">
        <f aca="false">IF(B47="","",IF(B47+1&gt;MAX(Diário!$A$5:$A$400),"",B47+1))</f>
        <v/>
      </c>
      <c r="B48" s="28" t="str">
        <f aca="false">IF(A48="","",A48+6)</f>
        <v/>
      </c>
      <c r="C48" s="13" t="str">
        <f aca="false">IF(A48="","",COUNTIFS(Diário!$A$5:$A$400,"&gt;="&amp;$A48,Diário!$A$5:$A$400,"&lt;="&amp;$B48))</f>
        <v/>
      </c>
      <c r="D48" s="13" t="str">
        <f aca="false">IF($A48="","",SUMIFS(Diário!$B$5:$B$400,Diário!$A$5:$A$400,"&gt;="&amp;$A48,Diário!$A$5:$A$400,"&lt;="&amp;$B48))</f>
        <v/>
      </c>
      <c r="E48" s="13" t="str">
        <f aca="false">IF($A48="","",SUMIFS(Diário!$E$5:$E$400,Diário!$A$5:$A$400,"&gt;="&amp;$A48,Diário!$A$5:$A$400,"&lt;="&amp;$B48))</f>
        <v/>
      </c>
      <c r="F48" s="13" t="str">
        <f aca="false">IF($A48="","",SUMIFS(Diário!$D$5:$D$400,Diário!$A$5:$A$400,"&gt;="&amp;$A48,Diário!$A$5:$A$400,"&lt;="&amp;$B48))</f>
        <v/>
      </c>
      <c r="G48" s="13" t="str">
        <f aca="false">IF($A48="","",SUMIFS(Diário!$C$5:$C$400,Diário!$A$5:$A$400,"&gt;="&amp;$A48,Diário!$A$5:$A$400,"&lt;="&amp;$B48))</f>
        <v/>
      </c>
      <c r="H48" s="13" t="str">
        <f aca="false">IF(A48="","",SUM(D48:G48))</f>
        <v/>
      </c>
      <c r="I48" s="29" t="str">
        <f aca="false">IF($A48="","",SUMIFS(Diário!$G$5:$G$400,Diário!$A$5:$A$400,"&gt;="&amp;$A48,Diário!$A$5:$A$400,"&lt;="&amp;$B48))</f>
        <v/>
      </c>
      <c r="J48" s="30" t="str">
        <f aca="false">IF(A48="","",IF(H48=0,0,I48/H48))</f>
        <v/>
      </c>
      <c r="K48" s="14" t="str">
        <f aca="false">IF(A48="","",IF(I48=0,0,E48*Premissas!$C$5/I48))</f>
        <v/>
      </c>
      <c r="L48" s="31" t="str">
        <f aca="false">IF(A48="","",IF(I47=0,"n/d",I48/I47-1))</f>
        <v/>
      </c>
    </row>
    <row r="49" customFormat="false" ht="14.25" hidden="false" customHeight="false" outlineLevel="0" collapsed="false">
      <c r="A49" s="28" t="str">
        <f aca="false">IF(B48="","",IF(B48+1&gt;MAX(Diário!$A$5:$A$400),"",B48+1))</f>
        <v/>
      </c>
      <c r="B49" s="28" t="str">
        <f aca="false">IF(A49="","",A49+6)</f>
        <v/>
      </c>
      <c r="C49" s="13" t="str">
        <f aca="false">IF(A49="","",COUNTIFS(Diário!$A$5:$A$400,"&gt;="&amp;$A49,Diário!$A$5:$A$400,"&lt;="&amp;$B49))</f>
        <v/>
      </c>
      <c r="D49" s="13" t="str">
        <f aca="false">IF($A49="","",SUMIFS(Diário!$B$5:$B$400,Diário!$A$5:$A$400,"&gt;="&amp;$A49,Diário!$A$5:$A$400,"&lt;="&amp;$B49))</f>
        <v/>
      </c>
      <c r="E49" s="13" t="str">
        <f aca="false">IF($A49="","",SUMIFS(Diário!$E$5:$E$400,Diário!$A$5:$A$400,"&gt;="&amp;$A49,Diário!$A$5:$A$400,"&lt;="&amp;$B49))</f>
        <v/>
      </c>
      <c r="F49" s="13" t="str">
        <f aca="false">IF($A49="","",SUMIFS(Diário!$D$5:$D$400,Diário!$A$5:$A$400,"&gt;="&amp;$A49,Diário!$A$5:$A$400,"&lt;="&amp;$B49))</f>
        <v/>
      </c>
      <c r="G49" s="13" t="str">
        <f aca="false">IF($A49="","",SUMIFS(Diário!$C$5:$C$400,Diário!$A$5:$A$400,"&gt;="&amp;$A49,Diário!$A$5:$A$400,"&lt;="&amp;$B49))</f>
        <v/>
      </c>
      <c r="H49" s="13" t="str">
        <f aca="false">IF(A49="","",SUM(D49:G49))</f>
        <v/>
      </c>
      <c r="I49" s="29" t="str">
        <f aca="false">IF($A49="","",SUMIFS(Diário!$G$5:$G$400,Diário!$A$5:$A$400,"&gt;="&amp;$A49,Diário!$A$5:$A$400,"&lt;="&amp;$B49))</f>
        <v/>
      </c>
      <c r="J49" s="30" t="str">
        <f aca="false">IF(A49="","",IF(H49=0,0,I49/H49))</f>
        <v/>
      </c>
      <c r="K49" s="14" t="str">
        <f aca="false">IF(A49="","",IF(I49=0,0,E49*Premissas!$C$5/I49))</f>
        <v/>
      </c>
      <c r="L49" s="31" t="str">
        <f aca="false">IF(A49="","",IF(I48=0,"n/d",I49/I48-1))</f>
        <v/>
      </c>
    </row>
    <row r="50" customFormat="false" ht="14.25" hidden="false" customHeight="false" outlineLevel="0" collapsed="false">
      <c r="A50" s="28" t="str">
        <f aca="false">IF(B49="","",IF(B49+1&gt;MAX(Diário!$A$5:$A$400),"",B49+1))</f>
        <v/>
      </c>
      <c r="B50" s="28" t="str">
        <f aca="false">IF(A50="","",A50+6)</f>
        <v/>
      </c>
      <c r="C50" s="13" t="str">
        <f aca="false">IF(A50="","",COUNTIFS(Diário!$A$5:$A$400,"&gt;="&amp;$A50,Diário!$A$5:$A$400,"&lt;="&amp;$B50))</f>
        <v/>
      </c>
      <c r="D50" s="13" t="str">
        <f aca="false">IF($A50="","",SUMIFS(Diário!$B$5:$B$400,Diário!$A$5:$A$400,"&gt;="&amp;$A50,Diário!$A$5:$A$400,"&lt;="&amp;$B50))</f>
        <v/>
      </c>
      <c r="E50" s="13" t="str">
        <f aca="false">IF($A50="","",SUMIFS(Diário!$E$5:$E$400,Diário!$A$5:$A$400,"&gt;="&amp;$A50,Diário!$A$5:$A$400,"&lt;="&amp;$B50))</f>
        <v/>
      </c>
      <c r="F50" s="13" t="str">
        <f aca="false">IF($A50="","",SUMIFS(Diário!$D$5:$D$400,Diário!$A$5:$A$400,"&gt;="&amp;$A50,Diário!$A$5:$A$400,"&lt;="&amp;$B50))</f>
        <v/>
      </c>
      <c r="G50" s="13" t="str">
        <f aca="false">IF($A50="","",SUMIFS(Diário!$C$5:$C$400,Diário!$A$5:$A$400,"&gt;="&amp;$A50,Diário!$A$5:$A$400,"&lt;="&amp;$B50))</f>
        <v/>
      </c>
      <c r="H50" s="13" t="str">
        <f aca="false">IF(A50="","",SUM(D50:G50))</f>
        <v/>
      </c>
      <c r="I50" s="29" t="str">
        <f aca="false">IF($A50="","",SUMIFS(Diário!$G$5:$G$400,Diário!$A$5:$A$400,"&gt;="&amp;$A50,Diário!$A$5:$A$400,"&lt;="&amp;$B50))</f>
        <v/>
      </c>
      <c r="J50" s="30" t="str">
        <f aca="false">IF(A50="","",IF(H50=0,0,I50/H50))</f>
        <v/>
      </c>
      <c r="K50" s="14" t="str">
        <f aca="false">IF(A50="","",IF(I50=0,0,E50*Premissas!$C$5/I50))</f>
        <v/>
      </c>
      <c r="L50" s="31" t="str">
        <f aca="false">IF(A50="","",IF(I49=0,"n/d",I50/I49-1))</f>
        <v/>
      </c>
    </row>
    <row r="51" customFormat="false" ht="14.25" hidden="false" customHeight="false" outlineLevel="0" collapsed="false">
      <c r="A51" s="28" t="str">
        <f aca="false">IF(B50="","",IF(B50+1&gt;MAX(Diário!$A$5:$A$400),"",B50+1))</f>
        <v/>
      </c>
      <c r="B51" s="28" t="str">
        <f aca="false">IF(A51="","",A51+6)</f>
        <v/>
      </c>
      <c r="C51" s="13" t="str">
        <f aca="false">IF(A51="","",COUNTIFS(Diário!$A$5:$A$400,"&gt;="&amp;$A51,Diário!$A$5:$A$400,"&lt;="&amp;$B51))</f>
        <v/>
      </c>
      <c r="D51" s="13" t="str">
        <f aca="false">IF($A51="","",SUMIFS(Diário!$B$5:$B$400,Diário!$A$5:$A$400,"&gt;="&amp;$A51,Diário!$A$5:$A$400,"&lt;="&amp;$B51))</f>
        <v/>
      </c>
      <c r="E51" s="13" t="str">
        <f aca="false">IF($A51="","",SUMIFS(Diário!$E$5:$E$400,Diário!$A$5:$A$400,"&gt;="&amp;$A51,Diário!$A$5:$A$400,"&lt;="&amp;$B51))</f>
        <v/>
      </c>
      <c r="F51" s="13" t="str">
        <f aca="false">IF($A51="","",SUMIFS(Diário!$D$5:$D$400,Diário!$A$5:$A$400,"&gt;="&amp;$A51,Diário!$A$5:$A$400,"&lt;="&amp;$B51))</f>
        <v/>
      </c>
      <c r="G51" s="13" t="str">
        <f aca="false">IF($A51="","",SUMIFS(Diário!$C$5:$C$400,Diário!$A$5:$A$400,"&gt;="&amp;$A51,Diário!$A$5:$A$400,"&lt;="&amp;$B51))</f>
        <v/>
      </c>
      <c r="H51" s="13" t="str">
        <f aca="false">IF(A51="","",SUM(D51:G51))</f>
        <v/>
      </c>
      <c r="I51" s="29" t="str">
        <f aca="false">IF($A51="","",SUMIFS(Diário!$G$5:$G$400,Diário!$A$5:$A$400,"&gt;="&amp;$A51,Diário!$A$5:$A$400,"&lt;="&amp;$B51))</f>
        <v/>
      </c>
      <c r="J51" s="30" t="str">
        <f aca="false">IF(A51="","",IF(H51=0,0,I51/H51))</f>
        <v/>
      </c>
      <c r="K51" s="14" t="str">
        <f aca="false">IF(A51="","",IF(I51=0,0,E51*Premissas!$C$5/I51))</f>
        <v/>
      </c>
      <c r="L51" s="31" t="str">
        <f aca="false">IF(A51="","",IF(I50=0,"n/d",I51/I50-1))</f>
        <v/>
      </c>
    </row>
    <row r="52" customFormat="false" ht="14.25" hidden="false" customHeight="false" outlineLevel="0" collapsed="false">
      <c r="A52" s="28" t="str">
        <f aca="false">IF(B51="","",IF(B51+1&gt;MAX(Diário!$A$5:$A$400),"",B51+1))</f>
        <v/>
      </c>
      <c r="B52" s="28" t="str">
        <f aca="false">IF(A52="","",A52+6)</f>
        <v/>
      </c>
      <c r="C52" s="13" t="str">
        <f aca="false">IF(A52="","",COUNTIFS(Diário!$A$5:$A$400,"&gt;="&amp;$A52,Diário!$A$5:$A$400,"&lt;="&amp;$B52))</f>
        <v/>
      </c>
      <c r="D52" s="13" t="str">
        <f aca="false">IF($A52="","",SUMIFS(Diário!$B$5:$B$400,Diário!$A$5:$A$400,"&gt;="&amp;$A52,Diário!$A$5:$A$400,"&lt;="&amp;$B52))</f>
        <v/>
      </c>
      <c r="E52" s="13" t="str">
        <f aca="false">IF($A52="","",SUMIFS(Diário!$E$5:$E$400,Diário!$A$5:$A$400,"&gt;="&amp;$A52,Diário!$A$5:$A$400,"&lt;="&amp;$B52))</f>
        <v/>
      </c>
      <c r="F52" s="13" t="str">
        <f aca="false">IF($A52="","",SUMIFS(Diário!$D$5:$D$400,Diário!$A$5:$A$400,"&gt;="&amp;$A52,Diário!$A$5:$A$400,"&lt;="&amp;$B52))</f>
        <v/>
      </c>
      <c r="G52" s="13" t="str">
        <f aca="false">IF($A52="","",SUMIFS(Diário!$C$5:$C$400,Diário!$A$5:$A$400,"&gt;="&amp;$A52,Diário!$A$5:$A$400,"&lt;="&amp;$B52))</f>
        <v/>
      </c>
      <c r="H52" s="13" t="str">
        <f aca="false">IF(A52="","",SUM(D52:G52))</f>
        <v/>
      </c>
      <c r="I52" s="29" t="str">
        <f aca="false">IF($A52="","",SUMIFS(Diário!$G$5:$G$400,Diário!$A$5:$A$400,"&gt;="&amp;$A52,Diário!$A$5:$A$400,"&lt;="&amp;$B52))</f>
        <v/>
      </c>
      <c r="J52" s="30" t="str">
        <f aca="false">IF(A52="","",IF(H52=0,0,I52/H52))</f>
        <v/>
      </c>
      <c r="K52" s="14" t="str">
        <f aca="false">IF(A52="","",IF(I52=0,0,E52*Premissas!$C$5/I52))</f>
        <v/>
      </c>
      <c r="L52" s="31" t="str">
        <f aca="false">IF(A52="","",IF(I51=0,"n/d",I52/I51-1))</f>
        <v/>
      </c>
    </row>
    <row r="53" customFormat="false" ht="14.25" hidden="false" customHeight="false" outlineLevel="0" collapsed="false">
      <c r="A53" s="28" t="str">
        <f aca="false">IF(B52="","",IF(B52+1&gt;MAX(Diário!$A$5:$A$400),"",B52+1))</f>
        <v/>
      </c>
      <c r="B53" s="28" t="str">
        <f aca="false">IF(A53="","",A53+6)</f>
        <v/>
      </c>
      <c r="C53" s="13" t="str">
        <f aca="false">IF(A53="","",COUNTIFS(Diário!$A$5:$A$400,"&gt;="&amp;$A53,Diário!$A$5:$A$400,"&lt;="&amp;$B53))</f>
        <v/>
      </c>
      <c r="D53" s="13" t="str">
        <f aca="false">IF($A53="","",SUMIFS(Diário!$B$5:$B$400,Diário!$A$5:$A$400,"&gt;="&amp;$A53,Diário!$A$5:$A$400,"&lt;="&amp;$B53))</f>
        <v/>
      </c>
      <c r="E53" s="13" t="str">
        <f aca="false">IF($A53="","",SUMIFS(Diário!$E$5:$E$400,Diário!$A$5:$A$400,"&gt;="&amp;$A53,Diário!$A$5:$A$400,"&lt;="&amp;$B53))</f>
        <v/>
      </c>
      <c r="F53" s="13" t="str">
        <f aca="false">IF($A53="","",SUMIFS(Diário!$D$5:$D$400,Diário!$A$5:$A$400,"&gt;="&amp;$A53,Diário!$A$5:$A$400,"&lt;="&amp;$B53))</f>
        <v/>
      </c>
      <c r="G53" s="13" t="str">
        <f aca="false">IF($A53="","",SUMIFS(Diário!$C$5:$C$400,Diário!$A$5:$A$400,"&gt;="&amp;$A53,Diário!$A$5:$A$400,"&lt;="&amp;$B53))</f>
        <v/>
      </c>
      <c r="H53" s="13" t="str">
        <f aca="false">IF(A53="","",SUM(D53:G53))</f>
        <v/>
      </c>
      <c r="I53" s="29" t="str">
        <f aca="false">IF($A53="","",SUMIFS(Diário!$G$5:$G$400,Diário!$A$5:$A$400,"&gt;="&amp;$A53,Diário!$A$5:$A$400,"&lt;="&amp;$B53))</f>
        <v/>
      </c>
      <c r="J53" s="30" t="str">
        <f aca="false">IF(A53="","",IF(H53=0,0,I53/H53))</f>
        <v/>
      </c>
      <c r="K53" s="14" t="str">
        <f aca="false">IF(A53="","",IF(I53=0,0,E53*Premissas!$C$5/I53))</f>
        <v/>
      </c>
      <c r="L53" s="31" t="str">
        <f aca="false">IF(A53="","",IF(I52=0,"n/d",I53/I52-1))</f>
        <v/>
      </c>
    </row>
    <row r="54" customFormat="false" ht="14.25" hidden="false" customHeight="false" outlineLevel="0" collapsed="false">
      <c r="A54" s="28" t="str">
        <f aca="false">IF(B53="","",IF(B53+1&gt;MAX(Diário!$A$5:$A$400),"",B53+1))</f>
        <v/>
      </c>
      <c r="B54" s="28" t="str">
        <f aca="false">IF(A54="","",A54+6)</f>
        <v/>
      </c>
      <c r="C54" s="13" t="str">
        <f aca="false">IF(A54="","",COUNTIFS(Diário!$A$5:$A$400,"&gt;="&amp;$A54,Diário!$A$5:$A$400,"&lt;="&amp;$B54))</f>
        <v/>
      </c>
      <c r="D54" s="13" t="str">
        <f aca="false">IF($A54="","",SUMIFS(Diário!$B$5:$B$400,Diário!$A$5:$A$400,"&gt;="&amp;$A54,Diário!$A$5:$A$400,"&lt;="&amp;$B54))</f>
        <v/>
      </c>
      <c r="E54" s="13" t="str">
        <f aca="false">IF($A54="","",SUMIFS(Diário!$E$5:$E$400,Diário!$A$5:$A$400,"&gt;="&amp;$A54,Diário!$A$5:$A$400,"&lt;="&amp;$B54))</f>
        <v/>
      </c>
      <c r="F54" s="13" t="str">
        <f aca="false">IF($A54="","",SUMIFS(Diário!$D$5:$D$400,Diário!$A$5:$A$400,"&gt;="&amp;$A54,Diário!$A$5:$A$400,"&lt;="&amp;$B54))</f>
        <v/>
      </c>
      <c r="G54" s="13" t="str">
        <f aca="false">IF($A54="","",SUMIFS(Diário!$C$5:$C$400,Diário!$A$5:$A$400,"&gt;="&amp;$A54,Diário!$A$5:$A$400,"&lt;="&amp;$B54))</f>
        <v/>
      </c>
      <c r="H54" s="13" t="str">
        <f aca="false">IF(A54="","",SUM(D54:G54))</f>
        <v/>
      </c>
      <c r="I54" s="29" t="str">
        <f aca="false">IF($A54="","",SUMIFS(Diário!$G$5:$G$400,Diário!$A$5:$A$400,"&gt;="&amp;$A54,Diário!$A$5:$A$400,"&lt;="&amp;$B54))</f>
        <v/>
      </c>
      <c r="J54" s="30" t="str">
        <f aca="false">IF(A54="","",IF(H54=0,0,I54/H54))</f>
        <v/>
      </c>
      <c r="K54" s="14" t="str">
        <f aca="false">IF(A54="","",IF(I54=0,0,E54*Premissas!$C$5/I54))</f>
        <v/>
      </c>
      <c r="L54" s="31" t="str">
        <f aca="false">IF(A54="","",IF(I53=0,"n/d",I54/I53-1))</f>
        <v/>
      </c>
    </row>
    <row r="55" customFormat="false" ht="14.25" hidden="false" customHeight="false" outlineLevel="0" collapsed="false">
      <c r="A55" s="28" t="str">
        <f aca="false">IF(B54="","",IF(B54+1&gt;MAX(Diário!$A$5:$A$400),"",B54+1))</f>
        <v/>
      </c>
      <c r="B55" s="28" t="str">
        <f aca="false">IF(A55="","",A55+6)</f>
        <v/>
      </c>
      <c r="C55" s="13" t="str">
        <f aca="false">IF(A55="","",COUNTIFS(Diário!$A$5:$A$400,"&gt;="&amp;$A55,Diário!$A$5:$A$400,"&lt;="&amp;$B55))</f>
        <v/>
      </c>
      <c r="D55" s="13" t="str">
        <f aca="false">IF($A55="","",SUMIFS(Diário!$B$5:$B$400,Diário!$A$5:$A$400,"&gt;="&amp;$A55,Diário!$A$5:$A$400,"&lt;="&amp;$B55))</f>
        <v/>
      </c>
      <c r="E55" s="13" t="str">
        <f aca="false">IF($A55="","",SUMIFS(Diário!$E$5:$E$400,Diário!$A$5:$A$400,"&gt;="&amp;$A55,Diário!$A$5:$A$400,"&lt;="&amp;$B55))</f>
        <v/>
      </c>
      <c r="F55" s="13" t="str">
        <f aca="false">IF($A55="","",SUMIFS(Diário!$D$5:$D$400,Diário!$A$5:$A$400,"&gt;="&amp;$A55,Diário!$A$5:$A$400,"&lt;="&amp;$B55))</f>
        <v/>
      </c>
      <c r="G55" s="13" t="str">
        <f aca="false">IF($A55="","",SUMIFS(Diário!$C$5:$C$400,Diário!$A$5:$A$400,"&gt;="&amp;$A55,Diário!$A$5:$A$400,"&lt;="&amp;$B55))</f>
        <v/>
      </c>
      <c r="H55" s="13" t="str">
        <f aca="false">IF(A55="","",SUM(D55:G55))</f>
        <v/>
      </c>
      <c r="I55" s="29" t="str">
        <f aca="false">IF($A55="","",SUMIFS(Diário!$G$5:$G$400,Diário!$A$5:$A$400,"&gt;="&amp;$A55,Diário!$A$5:$A$400,"&lt;="&amp;$B55))</f>
        <v/>
      </c>
      <c r="J55" s="30" t="str">
        <f aca="false">IF(A55="","",IF(H55=0,0,I55/H55))</f>
        <v/>
      </c>
      <c r="K55" s="14" t="str">
        <f aca="false">IF(A55="","",IF(I55=0,0,E55*Premissas!$C$5/I55))</f>
        <v/>
      </c>
      <c r="L55" s="31" t="str">
        <f aca="false">IF(A55="","",IF(I54=0,"n/d",I55/I54-1))</f>
        <v/>
      </c>
    </row>
    <row r="56" customFormat="false" ht="14.25" hidden="false" customHeight="false" outlineLevel="0" collapsed="false">
      <c r="A56" s="28" t="str">
        <f aca="false">IF(B55="","",IF(B55+1&gt;MAX(Diário!$A$5:$A$400),"",B55+1))</f>
        <v/>
      </c>
      <c r="B56" s="28" t="str">
        <f aca="false">IF(A56="","",A56+6)</f>
        <v/>
      </c>
      <c r="C56" s="13" t="str">
        <f aca="false">IF(A56="","",COUNTIFS(Diário!$A$5:$A$400,"&gt;="&amp;$A56,Diário!$A$5:$A$400,"&lt;="&amp;$B56))</f>
        <v/>
      </c>
      <c r="D56" s="13" t="str">
        <f aca="false">IF($A56="","",SUMIFS(Diário!$B$5:$B$400,Diário!$A$5:$A$400,"&gt;="&amp;$A56,Diário!$A$5:$A$400,"&lt;="&amp;$B56))</f>
        <v/>
      </c>
      <c r="E56" s="13" t="str">
        <f aca="false">IF($A56="","",SUMIFS(Diário!$E$5:$E$400,Diário!$A$5:$A$400,"&gt;="&amp;$A56,Diário!$A$5:$A$400,"&lt;="&amp;$B56))</f>
        <v/>
      </c>
      <c r="F56" s="13" t="str">
        <f aca="false">IF($A56="","",SUMIFS(Diário!$D$5:$D$400,Diário!$A$5:$A$400,"&gt;="&amp;$A56,Diário!$A$5:$A$400,"&lt;="&amp;$B56))</f>
        <v/>
      </c>
      <c r="G56" s="13" t="str">
        <f aca="false">IF($A56="","",SUMIFS(Diário!$C$5:$C$400,Diário!$A$5:$A$400,"&gt;="&amp;$A56,Diário!$A$5:$A$400,"&lt;="&amp;$B56))</f>
        <v/>
      </c>
      <c r="H56" s="13" t="str">
        <f aca="false">IF(A56="","",SUM(D56:G56))</f>
        <v/>
      </c>
      <c r="I56" s="29" t="str">
        <f aca="false">IF($A56="","",SUMIFS(Diário!$G$5:$G$400,Diário!$A$5:$A$400,"&gt;="&amp;$A56,Diário!$A$5:$A$400,"&lt;="&amp;$B56))</f>
        <v/>
      </c>
      <c r="J56" s="30" t="str">
        <f aca="false">IF(A56="","",IF(H56=0,0,I56/H56))</f>
        <v/>
      </c>
      <c r="K56" s="14" t="str">
        <f aca="false">IF(A56="","",IF(I56=0,0,E56*Premissas!$C$5/I56))</f>
        <v/>
      </c>
      <c r="L56" s="31" t="str">
        <f aca="false">IF(A56="","",IF(I55=0,"n/d",I56/I55-1))</f>
        <v/>
      </c>
    </row>
    <row r="57" customFormat="false" ht="14.25" hidden="false" customHeight="false" outlineLevel="0" collapsed="false">
      <c r="A57" s="28" t="str">
        <f aca="false">IF(B56="","",IF(B56+1&gt;MAX(Diário!$A$5:$A$400),"",B56+1))</f>
        <v/>
      </c>
      <c r="B57" s="28" t="str">
        <f aca="false">IF(A57="","",A57+6)</f>
        <v/>
      </c>
      <c r="C57" s="13" t="str">
        <f aca="false">IF(A57="","",COUNTIFS(Diário!$A$5:$A$400,"&gt;="&amp;$A57,Diário!$A$5:$A$400,"&lt;="&amp;$B57))</f>
        <v/>
      </c>
      <c r="D57" s="13" t="str">
        <f aca="false">IF($A57="","",SUMIFS(Diário!$B$5:$B$400,Diário!$A$5:$A$400,"&gt;="&amp;$A57,Diário!$A$5:$A$400,"&lt;="&amp;$B57))</f>
        <v/>
      </c>
      <c r="E57" s="13" t="str">
        <f aca="false">IF($A57="","",SUMIFS(Diário!$E$5:$E$400,Diário!$A$5:$A$400,"&gt;="&amp;$A57,Diário!$A$5:$A$400,"&lt;="&amp;$B57))</f>
        <v/>
      </c>
      <c r="F57" s="13" t="str">
        <f aca="false">IF($A57="","",SUMIFS(Diário!$D$5:$D$400,Diário!$A$5:$A$400,"&gt;="&amp;$A57,Diário!$A$5:$A$400,"&lt;="&amp;$B57))</f>
        <v/>
      </c>
      <c r="G57" s="13" t="str">
        <f aca="false">IF($A57="","",SUMIFS(Diário!$C$5:$C$400,Diário!$A$5:$A$400,"&gt;="&amp;$A57,Diário!$A$5:$A$400,"&lt;="&amp;$B57))</f>
        <v/>
      </c>
      <c r="H57" s="13" t="str">
        <f aca="false">IF(A57="","",SUM(D57:G57))</f>
        <v/>
      </c>
      <c r="I57" s="29" t="str">
        <f aca="false">IF($A57="","",SUMIFS(Diário!$G$5:$G$400,Diário!$A$5:$A$400,"&gt;="&amp;$A57,Diário!$A$5:$A$400,"&lt;="&amp;$B57))</f>
        <v/>
      </c>
      <c r="J57" s="30" t="str">
        <f aca="false">IF(A57="","",IF(H57=0,0,I57/H57))</f>
        <v/>
      </c>
      <c r="K57" s="14" t="str">
        <f aca="false">IF(A57="","",IF(I57=0,0,E57*Premissas!$C$5/I57))</f>
        <v/>
      </c>
      <c r="L57" s="31" t="str">
        <f aca="false">IF(A57="","",IF(I56=0,"n/d",I57/I56-1))</f>
        <v/>
      </c>
    </row>
    <row r="58" customFormat="false" ht="14.25" hidden="false" customHeight="false" outlineLevel="0" collapsed="false">
      <c r="A58" s="28" t="str">
        <f aca="false">IF(B57="","",IF(B57+1&gt;MAX(Diário!$A$5:$A$400),"",B57+1))</f>
        <v/>
      </c>
      <c r="B58" s="28" t="str">
        <f aca="false">IF(A58="","",A58+6)</f>
        <v/>
      </c>
      <c r="C58" s="13" t="str">
        <f aca="false">IF(A58="","",COUNTIFS(Diário!$A$5:$A$400,"&gt;="&amp;$A58,Diário!$A$5:$A$400,"&lt;="&amp;$B58))</f>
        <v/>
      </c>
      <c r="D58" s="13" t="str">
        <f aca="false">IF($A58="","",SUMIFS(Diário!$B$5:$B$400,Diário!$A$5:$A$400,"&gt;="&amp;$A58,Diário!$A$5:$A$400,"&lt;="&amp;$B58))</f>
        <v/>
      </c>
      <c r="E58" s="13" t="str">
        <f aca="false">IF($A58="","",SUMIFS(Diário!$E$5:$E$400,Diário!$A$5:$A$400,"&gt;="&amp;$A58,Diário!$A$5:$A$400,"&lt;="&amp;$B58))</f>
        <v/>
      </c>
      <c r="F58" s="13" t="str">
        <f aca="false">IF($A58="","",SUMIFS(Diário!$D$5:$D$400,Diário!$A$5:$A$400,"&gt;="&amp;$A58,Diário!$A$5:$A$400,"&lt;="&amp;$B58))</f>
        <v/>
      </c>
      <c r="G58" s="13" t="str">
        <f aca="false">IF($A58="","",SUMIFS(Diário!$C$5:$C$400,Diário!$A$5:$A$400,"&gt;="&amp;$A58,Diário!$A$5:$A$400,"&lt;="&amp;$B58))</f>
        <v/>
      </c>
      <c r="H58" s="13" t="str">
        <f aca="false">IF(A58="","",SUM(D58:G58))</f>
        <v/>
      </c>
      <c r="I58" s="29" t="str">
        <f aca="false">IF($A58="","",SUMIFS(Diário!$G$5:$G$400,Diário!$A$5:$A$400,"&gt;="&amp;$A58,Diário!$A$5:$A$400,"&lt;="&amp;$B58))</f>
        <v/>
      </c>
      <c r="J58" s="30" t="str">
        <f aca="false">IF(A58="","",IF(H58=0,0,I58/H58))</f>
        <v/>
      </c>
      <c r="K58" s="14" t="str">
        <f aca="false">IF(A58="","",IF(I58=0,0,E58*Premissas!$C$5/I58))</f>
        <v/>
      </c>
      <c r="L58" s="31" t="str">
        <f aca="false">IF(A58="","",IF(I57=0,"n/d",I58/I57-1))</f>
        <v/>
      </c>
    </row>
    <row r="59" customFormat="false" ht="14.25" hidden="false" customHeight="false" outlineLevel="0" collapsed="false">
      <c r="A59" s="28" t="str">
        <f aca="false">IF(B58="","",IF(B58+1&gt;MAX(Diário!$A$5:$A$400),"",B58+1))</f>
        <v/>
      </c>
      <c r="B59" s="28" t="str">
        <f aca="false">IF(A59="","",A59+6)</f>
        <v/>
      </c>
      <c r="C59" s="13" t="str">
        <f aca="false">IF(A59="","",COUNTIFS(Diário!$A$5:$A$400,"&gt;="&amp;$A59,Diário!$A$5:$A$400,"&lt;="&amp;$B59))</f>
        <v/>
      </c>
      <c r="D59" s="13" t="str">
        <f aca="false">IF($A59="","",SUMIFS(Diário!$B$5:$B$400,Diário!$A$5:$A$400,"&gt;="&amp;$A59,Diário!$A$5:$A$400,"&lt;="&amp;$B59))</f>
        <v/>
      </c>
      <c r="E59" s="13" t="str">
        <f aca="false">IF($A59="","",SUMIFS(Diário!$E$5:$E$400,Diário!$A$5:$A$400,"&gt;="&amp;$A59,Diário!$A$5:$A$400,"&lt;="&amp;$B59))</f>
        <v/>
      </c>
      <c r="F59" s="13" t="str">
        <f aca="false">IF($A59="","",SUMIFS(Diário!$D$5:$D$400,Diário!$A$5:$A$400,"&gt;="&amp;$A59,Diário!$A$5:$A$400,"&lt;="&amp;$B59))</f>
        <v/>
      </c>
      <c r="G59" s="13" t="str">
        <f aca="false">IF($A59="","",SUMIFS(Diário!$C$5:$C$400,Diário!$A$5:$A$400,"&gt;="&amp;$A59,Diário!$A$5:$A$400,"&lt;="&amp;$B59))</f>
        <v/>
      </c>
      <c r="H59" s="13" t="str">
        <f aca="false">IF(A59="","",SUM(D59:G59))</f>
        <v/>
      </c>
      <c r="I59" s="29" t="str">
        <f aca="false">IF($A59="","",SUMIFS(Diário!$G$5:$G$400,Diário!$A$5:$A$400,"&gt;="&amp;$A59,Diário!$A$5:$A$400,"&lt;="&amp;$B59))</f>
        <v/>
      </c>
      <c r="J59" s="30" t="str">
        <f aca="false">IF(A59="","",IF(H59=0,0,I59/H59))</f>
        <v/>
      </c>
      <c r="K59" s="14" t="str">
        <f aca="false">IF(A59="","",IF(I59=0,0,E59*Premissas!$C$5/I59))</f>
        <v/>
      </c>
      <c r="L59" s="31" t="str">
        <f aca="false">IF(A59="","",IF(I58=0,"n/d",I59/I58-1))</f>
        <v/>
      </c>
    </row>
    <row r="60" customFormat="false" ht="14.25" hidden="false" customHeight="false" outlineLevel="0" collapsed="false">
      <c r="A60" s="28" t="str">
        <f aca="false">IF(B59="","",IF(B59+1&gt;MAX(Diário!$A$5:$A$400),"",B59+1))</f>
        <v/>
      </c>
      <c r="B60" s="28" t="str">
        <f aca="false">IF(A60="","",A60+6)</f>
        <v/>
      </c>
      <c r="C60" s="13" t="str">
        <f aca="false">IF(A60="","",COUNTIFS(Diário!$A$5:$A$400,"&gt;="&amp;$A60,Diário!$A$5:$A$400,"&lt;="&amp;$B60))</f>
        <v/>
      </c>
      <c r="D60" s="13" t="str">
        <f aca="false">IF($A60="","",SUMIFS(Diário!$B$5:$B$400,Diário!$A$5:$A$400,"&gt;="&amp;$A60,Diário!$A$5:$A$400,"&lt;="&amp;$B60))</f>
        <v/>
      </c>
      <c r="E60" s="13" t="str">
        <f aca="false">IF($A60="","",SUMIFS(Diário!$E$5:$E$400,Diário!$A$5:$A$400,"&gt;="&amp;$A60,Diário!$A$5:$A$400,"&lt;="&amp;$B60))</f>
        <v/>
      </c>
      <c r="F60" s="13" t="str">
        <f aca="false">IF($A60="","",SUMIFS(Diário!$D$5:$D$400,Diário!$A$5:$A$400,"&gt;="&amp;$A60,Diário!$A$5:$A$400,"&lt;="&amp;$B60))</f>
        <v/>
      </c>
      <c r="G60" s="13" t="str">
        <f aca="false">IF($A60="","",SUMIFS(Diário!$C$5:$C$400,Diário!$A$5:$A$400,"&gt;="&amp;$A60,Diário!$A$5:$A$400,"&lt;="&amp;$B60))</f>
        <v/>
      </c>
      <c r="H60" s="13" t="str">
        <f aca="false">IF(A60="","",SUM(D60:G60))</f>
        <v/>
      </c>
      <c r="I60" s="29" t="str">
        <f aca="false">IF($A60="","",SUMIFS(Diário!$G$5:$G$400,Diário!$A$5:$A$400,"&gt;="&amp;$A60,Diário!$A$5:$A$400,"&lt;="&amp;$B60))</f>
        <v/>
      </c>
      <c r="J60" s="30" t="str">
        <f aca="false">IF(A60="","",IF(H60=0,0,I60/H60))</f>
        <v/>
      </c>
      <c r="K60" s="14" t="str">
        <f aca="false">IF(A60="","",IF(I60=0,0,E60*Premissas!$C$5/I60))</f>
        <v/>
      </c>
      <c r="L60" s="31" t="str">
        <f aca="false">IF(A60="","",IF(I59=0,"n/d",I60/I59-1))</f>
        <v/>
      </c>
    </row>
    <row r="61" customFormat="false" ht="14.25" hidden="false" customHeight="false" outlineLevel="0" collapsed="false">
      <c r="A61" s="28" t="str">
        <f aca="false">IF(B60="","",IF(B60+1&gt;MAX(Diário!$A$5:$A$400),"",B60+1))</f>
        <v/>
      </c>
      <c r="B61" s="28" t="str">
        <f aca="false">IF(A61="","",A61+6)</f>
        <v/>
      </c>
      <c r="C61" s="13" t="str">
        <f aca="false">IF(A61="","",COUNTIFS(Diário!$A$5:$A$400,"&gt;="&amp;$A61,Diário!$A$5:$A$400,"&lt;="&amp;$B61))</f>
        <v/>
      </c>
      <c r="D61" s="13" t="str">
        <f aca="false">IF($A61="","",SUMIFS(Diário!$B$5:$B$400,Diário!$A$5:$A$400,"&gt;="&amp;$A61,Diário!$A$5:$A$400,"&lt;="&amp;$B61))</f>
        <v/>
      </c>
      <c r="E61" s="13" t="str">
        <f aca="false">IF($A61="","",SUMIFS(Diário!$E$5:$E$400,Diário!$A$5:$A$400,"&gt;="&amp;$A61,Diário!$A$5:$A$400,"&lt;="&amp;$B61))</f>
        <v/>
      </c>
      <c r="F61" s="13" t="str">
        <f aca="false">IF($A61="","",SUMIFS(Diário!$D$5:$D$400,Diário!$A$5:$A$400,"&gt;="&amp;$A61,Diário!$A$5:$A$400,"&lt;="&amp;$B61))</f>
        <v/>
      </c>
      <c r="G61" s="13" t="str">
        <f aca="false">IF($A61="","",SUMIFS(Diário!$C$5:$C$400,Diário!$A$5:$A$400,"&gt;="&amp;$A61,Diário!$A$5:$A$400,"&lt;="&amp;$B61))</f>
        <v/>
      </c>
      <c r="H61" s="13" t="str">
        <f aca="false">IF(A61="","",SUM(D61:G61))</f>
        <v/>
      </c>
      <c r="I61" s="29" t="str">
        <f aca="false">IF($A61="","",SUMIFS(Diário!$G$5:$G$400,Diário!$A$5:$A$400,"&gt;="&amp;$A61,Diário!$A$5:$A$400,"&lt;="&amp;$B61))</f>
        <v/>
      </c>
      <c r="J61" s="30" t="str">
        <f aca="false">IF(A61="","",IF(H61=0,0,I61/H61))</f>
        <v/>
      </c>
      <c r="K61" s="14" t="str">
        <f aca="false">IF(A61="","",IF(I61=0,0,E61*Premissas!$C$5/I61))</f>
        <v/>
      </c>
      <c r="L61" s="31" t="str">
        <f aca="false">IF(A61="","",IF(I60=0,"n/d",I61/I60-1))</f>
        <v/>
      </c>
    </row>
    <row r="62" customFormat="false" ht="14.25" hidden="false" customHeight="false" outlineLevel="0" collapsed="false">
      <c r="A62" s="28" t="str">
        <f aca="false">IF(B61="","",IF(B61+1&gt;MAX(Diário!$A$5:$A$400),"",B61+1))</f>
        <v/>
      </c>
      <c r="B62" s="28" t="str">
        <f aca="false">IF(A62="","",A62+6)</f>
        <v/>
      </c>
      <c r="C62" s="13" t="str">
        <f aca="false">IF(A62="","",COUNTIFS(Diário!$A$5:$A$400,"&gt;="&amp;$A62,Diário!$A$5:$A$400,"&lt;="&amp;$B62))</f>
        <v/>
      </c>
      <c r="D62" s="13" t="str">
        <f aca="false">IF($A62="","",SUMIFS(Diário!$B$5:$B$400,Diário!$A$5:$A$400,"&gt;="&amp;$A62,Diário!$A$5:$A$400,"&lt;="&amp;$B62))</f>
        <v/>
      </c>
      <c r="E62" s="13" t="str">
        <f aca="false">IF($A62="","",SUMIFS(Diário!$E$5:$E$400,Diário!$A$5:$A$400,"&gt;="&amp;$A62,Diário!$A$5:$A$400,"&lt;="&amp;$B62))</f>
        <v/>
      </c>
      <c r="F62" s="13" t="str">
        <f aca="false">IF($A62="","",SUMIFS(Diário!$D$5:$D$400,Diário!$A$5:$A$400,"&gt;="&amp;$A62,Diário!$A$5:$A$400,"&lt;="&amp;$B62))</f>
        <v/>
      </c>
      <c r="G62" s="13" t="str">
        <f aca="false">IF($A62="","",SUMIFS(Diário!$C$5:$C$400,Diário!$A$5:$A$400,"&gt;="&amp;$A62,Diário!$A$5:$A$400,"&lt;="&amp;$B62))</f>
        <v/>
      </c>
      <c r="H62" s="13" t="str">
        <f aca="false">IF(A62="","",SUM(D62:G62))</f>
        <v/>
      </c>
      <c r="I62" s="29" t="str">
        <f aca="false">IF($A62="","",SUMIFS(Diário!$G$5:$G$400,Diário!$A$5:$A$400,"&gt;="&amp;$A62,Diário!$A$5:$A$400,"&lt;="&amp;$B62))</f>
        <v/>
      </c>
      <c r="J62" s="30" t="str">
        <f aca="false">IF(A62="","",IF(H62=0,0,I62/H62))</f>
        <v/>
      </c>
      <c r="K62" s="14" t="str">
        <f aca="false">IF(A62="","",IF(I62=0,0,E62*Premissas!$C$5/I62))</f>
        <v/>
      </c>
      <c r="L62" s="31" t="str">
        <f aca="false">IF(A62="","",IF(I61=0,"n/d",I62/I61-1))</f>
        <v/>
      </c>
    </row>
    <row r="63" customFormat="false" ht="14.25" hidden="false" customHeight="false" outlineLevel="0" collapsed="false">
      <c r="A63" s="28" t="str">
        <f aca="false">IF(B62="","",IF(B62+1&gt;MAX(Diário!$A$5:$A$400),"",B62+1))</f>
        <v/>
      </c>
      <c r="B63" s="28" t="str">
        <f aca="false">IF(A63="","",A63+6)</f>
        <v/>
      </c>
      <c r="C63" s="13" t="str">
        <f aca="false">IF(A63="","",COUNTIFS(Diário!$A$5:$A$400,"&gt;="&amp;$A63,Diário!$A$5:$A$400,"&lt;="&amp;$B63))</f>
        <v/>
      </c>
      <c r="D63" s="13" t="str">
        <f aca="false">IF($A63="","",SUMIFS(Diário!$B$5:$B$400,Diário!$A$5:$A$400,"&gt;="&amp;$A63,Diário!$A$5:$A$400,"&lt;="&amp;$B63))</f>
        <v/>
      </c>
      <c r="E63" s="13" t="str">
        <f aca="false">IF($A63="","",SUMIFS(Diário!$E$5:$E$400,Diário!$A$5:$A$400,"&gt;="&amp;$A63,Diário!$A$5:$A$400,"&lt;="&amp;$B63))</f>
        <v/>
      </c>
      <c r="F63" s="13" t="str">
        <f aca="false">IF($A63="","",SUMIFS(Diário!$D$5:$D$400,Diário!$A$5:$A$400,"&gt;="&amp;$A63,Diário!$A$5:$A$400,"&lt;="&amp;$B63))</f>
        <v/>
      </c>
      <c r="G63" s="13" t="str">
        <f aca="false">IF($A63="","",SUMIFS(Diário!$C$5:$C$400,Diário!$A$5:$A$400,"&gt;="&amp;$A63,Diário!$A$5:$A$400,"&lt;="&amp;$B63))</f>
        <v/>
      </c>
      <c r="H63" s="13" t="str">
        <f aca="false">IF(A63="","",SUM(D63:G63))</f>
        <v/>
      </c>
      <c r="I63" s="29" t="str">
        <f aca="false">IF($A63="","",SUMIFS(Diário!$G$5:$G$400,Diário!$A$5:$A$400,"&gt;="&amp;$A63,Diário!$A$5:$A$400,"&lt;="&amp;$B63))</f>
        <v/>
      </c>
      <c r="J63" s="30" t="str">
        <f aca="false">IF(A63="","",IF(H63=0,0,I63/H63))</f>
        <v/>
      </c>
      <c r="K63" s="14" t="str">
        <f aca="false">IF(A63="","",IF(I63=0,0,E63*Premissas!$C$5/I63))</f>
        <v/>
      </c>
      <c r="L63" s="31" t="str">
        <f aca="false">IF(A63="","",IF(I62=0,"n/d",I63/I62-1))</f>
        <v/>
      </c>
    </row>
    <row r="64" customFormat="false" ht="14.25" hidden="false" customHeight="false" outlineLevel="0" collapsed="false">
      <c r="A64" s="28" t="str">
        <f aca="false">IF(B63="","",IF(B63+1&gt;MAX(Diário!$A$5:$A$400),"",B63+1))</f>
        <v/>
      </c>
      <c r="B64" s="28" t="str">
        <f aca="false">IF(A64="","",A64+6)</f>
        <v/>
      </c>
      <c r="C64" s="13" t="str">
        <f aca="false">IF(A64="","",COUNTIFS(Diário!$A$5:$A$400,"&gt;="&amp;$A64,Diário!$A$5:$A$400,"&lt;="&amp;$B64))</f>
        <v/>
      </c>
      <c r="D64" s="13" t="str">
        <f aca="false">IF($A64="","",SUMIFS(Diário!$B$5:$B$400,Diário!$A$5:$A$400,"&gt;="&amp;$A64,Diário!$A$5:$A$400,"&lt;="&amp;$B64))</f>
        <v/>
      </c>
      <c r="E64" s="13" t="str">
        <f aca="false">IF($A64="","",SUMIFS(Diário!$E$5:$E$400,Diário!$A$5:$A$400,"&gt;="&amp;$A64,Diário!$A$5:$A$400,"&lt;="&amp;$B64))</f>
        <v/>
      </c>
      <c r="F64" s="13" t="str">
        <f aca="false">IF($A64="","",SUMIFS(Diário!$D$5:$D$400,Diário!$A$5:$A$400,"&gt;="&amp;$A64,Diário!$A$5:$A$400,"&lt;="&amp;$B64))</f>
        <v/>
      </c>
      <c r="G64" s="13" t="str">
        <f aca="false">IF($A64="","",SUMIFS(Diário!$C$5:$C$400,Diário!$A$5:$A$400,"&gt;="&amp;$A64,Diário!$A$5:$A$400,"&lt;="&amp;$B64))</f>
        <v/>
      </c>
      <c r="H64" s="13" t="str">
        <f aca="false">IF(A64="","",SUM(D64:G64))</f>
        <v/>
      </c>
      <c r="I64" s="29" t="str">
        <f aca="false">IF($A64="","",SUMIFS(Diário!$G$5:$G$400,Diário!$A$5:$A$400,"&gt;="&amp;$A64,Diário!$A$5:$A$400,"&lt;="&amp;$B64))</f>
        <v/>
      </c>
      <c r="J64" s="30" t="str">
        <f aca="false">IF(A64="","",IF(H64=0,0,I64/H64))</f>
        <v/>
      </c>
      <c r="K64" s="14" t="str">
        <f aca="false">IF(A64="","",IF(I64=0,0,E64*Premissas!$C$5/I64))</f>
        <v/>
      </c>
      <c r="L64" s="31" t="str">
        <f aca="false">IF(A64="","",IF(I63=0,"n/d",I64/I63-1))</f>
        <v/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2" activeCellId="0" sqref="A2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15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8" min="7" style="0" width="16"/>
    <col collapsed="false" customWidth="true" hidden="false" outlineLevel="0" max="9" min="9" style="0" width="18"/>
    <col collapsed="false" customWidth="true" hidden="false" outlineLevel="0" max="10" min="10" style="0" width="16"/>
    <col collapsed="false" customWidth="true" hidden="false" outlineLevel="0" max="11" min="11" style="0" width="18"/>
    <col collapsed="false" customWidth="true" hidden="false" outlineLevel="0" max="12" min="12" style="0" width="16"/>
    <col collapsed="false" customWidth="true" hidden="false" outlineLevel="0" max="14" min="13" style="0" width="18"/>
    <col collapsed="false" customWidth="true" hidden="false" outlineLevel="0" max="15" min="15" style="0" width="20"/>
  </cols>
  <sheetData>
    <row r="1" customFormat="false" ht="18" hidden="false" customHeight="true" outlineLevel="0" collapsed="false">
      <c r="A1" s="32" t="s">
        <v>34</v>
      </c>
    </row>
    <row r="2" customFormat="false" ht="14.25" hidden="false" customHeight="false" outlineLevel="0" collapsed="false">
      <c r="A2" s="33"/>
    </row>
    <row r="4" customFormat="false" ht="31.5" hidden="false" customHeight="true" outlineLevel="0" collapsed="false">
      <c r="A4" s="19" t="s">
        <v>24</v>
      </c>
      <c r="B4" s="19" t="s">
        <v>30</v>
      </c>
      <c r="C4" s="19" t="s">
        <v>3</v>
      </c>
      <c r="D4" s="19" t="s">
        <v>4</v>
      </c>
      <c r="E4" s="19" t="s">
        <v>5</v>
      </c>
      <c r="F4" s="19" t="s">
        <v>6</v>
      </c>
      <c r="G4" s="19" t="s">
        <v>22</v>
      </c>
      <c r="H4" s="19" t="s">
        <v>35</v>
      </c>
      <c r="I4" s="19" t="s">
        <v>36</v>
      </c>
      <c r="J4" s="19" t="s">
        <v>37</v>
      </c>
      <c r="K4" s="19" t="s">
        <v>38</v>
      </c>
      <c r="L4" s="19" t="s">
        <v>39</v>
      </c>
      <c r="M4" s="19" t="s">
        <v>31</v>
      </c>
      <c r="N4" s="19" t="s">
        <v>32</v>
      </c>
      <c r="O4" s="19" t="s">
        <v>40</v>
      </c>
    </row>
    <row r="5" customFormat="false" ht="14.25" hidden="false" customHeight="false" outlineLevel="0" collapsed="false">
      <c r="A5" s="34" t="n">
        <f aca="false">IF(COUNT(Diário!$H$5:$H$400)=0,"",MIN(Diário!$H$5:$H$400))</f>
        <v>46296</v>
      </c>
      <c r="B5" s="13" t="n">
        <f aca="false">IF(A5="","",COUNTIFS(Diário!$H$5:$H$400,A5))</f>
        <v>20</v>
      </c>
      <c r="C5" s="13" t="n">
        <f aca="false">IF($A5="","",SUMIFS(Diário!$B$5:$B$400,Diário!$H$5:$H$400,$A5))</f>
        <v>232822</v>
      </c>
      <c r="D5" s="13" t="n">
        <f aca="false">IF($A5="","",SUMIFS(Diário!$E$5:$E$400,Diário!$H$5:$H$400,$A5))</f>
        <v>12356</v>
      </c>
      <c r="E5" s="13" t="n">
        <f aca="false">IF($A5="","",SUMIFS(Diário!$D$5:$D$400,Diário!$H$5:$H$400,$A5))</f>
        <v>0</v>
      </c>
      <c r="F5" s="13" t="n">
        <f aca="false">IF($A5="","",SUMIFS(Diário!$C$5:$C$400,Diário!$H$5:$H$400,$A5))</f>
        <v>0</v>
      </c>
      <c r="G5" s="13" t="n">
        <f aca="false">IF(A5="","",SUM(C5:F5))</f>
        <v>245178</v>
      </c>
      <c r="H5" s="29" t="n">
        <f aca="false">IF(A5="","",C5*Premissas!$C$4)</f>
        <v>20953.98</v>
      </c>
      <c r="I5" s="29" t="n">
        <f aca="false">IF(A5="","",D5*Premissas!$C$5)</f>
        <v>6672.24</v>
      </c>
      <c r="J5" s="29" t="n">
        <f aca="false">IF(A5="","",E5*Premissas!$C$6)</f>
        <v>0</v>
      </c>
      <c r="K5" s="29" t="n">
        <f aca="false">IF(A5="","",F5*Premissas!$C$7)</f>
        <v>0</v>
      </c>
      <c r="L5" s="35" t="n">
        <f aca="false">IF(A5="","",SUM(H5:K5))</f>
        <v>27626.22</v>
      </c>
      <c r="M5" s="30" t="n">
        <f aca="false">IF(A5="","",IF(G5=0,0,L5/G5))</f>
        <v>0.112678217458336</v>
      </c>
      <c r="N5" s="14" t="n">
        <f aca="false">IF(A5="","",IF(L5=0,0,I5/L5))</f>
        <v>0.241518383622515</v>
      </c>
      <c r="O5" s="31" t="str">
        <f aca="false">IF(A5="","","n/d")</f>
        <v>n/d</v>
      </c>
    </row>
    <row r="6" customFormat="false" ht="14.25" hidden="false" customHeight="false" outlineLevel="0" collapsed="false">
      <c r="A6" s="34" t="str">
        <f aca="false">IF(A5="","",IF(EDATE(A5,1)&gt;MAX(Diário!$A$5:$A$400),"",EDATE(A5,1)))</f>
        <v/>
      </c>
      <c r="B6" s="13" t="str">
        <f aca="false">IF(A6="","",COUNTIFS(Diário!$H$5:$H$400,A6))</f>
        <v/>
      </c>
      <c r="C6" s="13" t="str">
        <f aca="false">IF($A6="","",SUMIFS(Diário!$B$5:$B$400,Diário!$H$5:$H$400,$A6))</f>
        <v/>
      </c>
      <c r="D6" s="13" t="str">
        <f aca="false">IF($A6="","",SUMIFS(Diário!$E$5:$E$400,Diário!$H$5:$H$400,$A6))</f>
        <v/>
      </c>
      <c r="E6" s="13" t="str">
        <f aca="false">IF($A6="","",SUMIFS(Diário!$D$5:$D$400,Diário!$H$5:$H$400,$A6))</f>
        <v/>
      </c>
      <c r="F6" s="13" t="str">
        <f aca="false">IF($A6="","",SUMIFS(Diário!$C$5:$C$400,Diário!$H$5:$H$400,$A6))</f>
        <v/>
      </c>
      <c r="G6" s="13" t="str">
        <f aca="false">IF(A6="","",SUM(C6:F6))</f>
        <v/>
      </c>
      <c r="H6" s="29" t="str">
        <f aca="false">IF(A6="","",C6*Premissas!$C$4)</f>
        <v/>
      </c>
      <c r="I6" s="29" t="str">
        <f aca="false">IF(A6="","",D6*Premissas!$C$5)</f>
        <v/>
      </c>
      <c r="J6" s="29" t="str">
        <f aca="false">IF(A6="","",E6*Premissas!$C$6)</f>
        <v/>
      </c>
      <c r="K6" s="29" t="str">
        <f aca="false">IF(A6="","",F6*Premissas!$C$7)</f>
        <v/>
      </c>
      <c r="L6" s="35" t="str">
        <f aca="false">IF(A6="","",SUM(H6:K6))</f>
        <v/>
      </c>
      <c r="M6" s="30" t="str">
        <f aca="false">IF(A6="","",IF(G6=0,0,L6/G6))</f>
        <v/>
      </c>
      <c r="N6" s="14" t="str">
        <f aca="false">IF(A6="","",IF(L6=0,0,I6/L6))</f>
        <v/>
      </c>
      <c r="O6" s="31" t="str">
        <f aca="false">IF(A6="","",IF(L5=0,"n/d",L6/L5-1))</f>
        <v/>
      </c>
    </row>
    <row r="7" customFormat="false" ht="14.25" hidden="false" customHeight="false" outlineLevel="0" collapsed="false">
      <c r="A7" s="34" t="str">
        <f aca="false">IF(A6="","",IF(EDATE(A6,1)&gt;MAX(Diário!$A$5:$A$400),"",EDATE(A6,1)))</f>
        <v/>
      </c>
      <c r="B7" s="13" t="str">
        <f aca="false">IF(A7="","",COUNTIFS(Diário!$H$5:$H$400,A7))</f>
        <v/>
      </c>
      <c r="C7" s="13" t="str">
        <f aca="false">IF($A7="","",SUMIFS(Diário!$B$5:$B$400,Diário!$H$5:$H$400,$A7))</f>
        <v/>
      </c>
      <c r="D7" s="13" t="str">
        <f aca="false">IF($A7="","",SUMIFS(Diário!$E$5:$E$400,Diário!$H$5:$H$400,$A7))</f>
        <v/>
      </c>
      <c r="E7" s="13" t="str">
        <f aca="false">IF($A7="","",SUMIFS(Diário!$D$5:$D$400,Diário!$H$5:$H$400,$A7))</f>
        <v/>
      </c>
      <c r="F7" s="13" t="str">
        <f aca="false">IF($A7="","",SUMIFS(Diário!$C$5:$C$400,Diário!$H$5:$H$400,$A7))</f>
        <v/>
      </c>
      <c r="G7" s="13" t="str">
        <f aca="false">IF(A7="","",SUM(C7:F7))</f>
        <v/>
      </c>
      <c r="H7" s="29" t="str">
        <f aca="false">IF(A7="","",C7*Premissas!$C$4)</f>
        <v/>
      </c>
      <c r="I7" s="29" t="str">
        <f aca="false">IF(A7="","",D7*Premissas!$C$5)</f>
        <v/>
      </c>
      <c r="J7" s="29" t="str">
        <f aca="false">IF(A7="","",E7*Premissas!$C$6)</f>
        <v/>
      </c>
      <c r="K7" s="29" t="str">
        <f aca="false">IF(A7="","",F7*Premissas!$C$7)</f>
        <v/>
      </c>
      <c r="L7" s="35" t="str">
        <f aca="false">IF(A7="","",SUM(H7:K7))</f>
        <v/>
      </c>
      <c r="M7" s="30" t="str">
        <f aca="false">IF(A7="","",IF(G7=0,0,L7/G7))</f>
        <v/>
      </c>
      <c r="N7" s="14" t="str">
        <f aca="false">IF(A7="","",IF(L7=0,0,I7/L7))</f>
        <v/>
      </c>
      <c r="O7" s="31" t="str">
        <f aca="false">IF(A7="","",IF(L6=0,"n/d",L7/L6-1))</f>
        <v/>
      </c>
    </row>
    <row r="8" customFormat="false" ht="14.25" hidden="false" customHeight="false" outlineLevel="0" collapsed="false">
      <c r="A8" s="34" t="str">
        <f aca="false">IF(A7="","",IF(EDATE(A7,1)&gt;MAX(Diário!$A$5:$A$400),"",EDATE(A7,1)))</f>
        <v/>
      </c>
      <c r="B8" s="13" t="str">
        <f aca="false">IF(A8="","",COUNTIFS(Diário!$H$5:$H$400,A8))</f>
        <v/>
      </c>
      <c r="C8" s="13" t="str">
        <f aca="false">IF($A8="","",SUMIFS(Diário!$B$5:$B$400,Diário!$H$5:$H$400,$A8))</f>
        <v/>
      </c>
      <c r="D8" s="13" t="str">
        <f aca="false">IF($A8="","",SUMIFS(Diário!$E$5:$E$400,Diário!$H$5:$H$400,$A8))</f>
        <v/>
      </c>
      <c r="E8" s="13" t="str">
        <f aca="false">IF($A8="","",SUMIFS(Diário!$D$5:$D$400,Diário!$H$5:$H$400,$A8))</f>
        <v/>
      </c>
      <c r="F8" s="13" t="str">
        <f aca="false">IF($A8="","",SUMIFS(Diário!$C$5:$C$400,Diário!$H$5:$H$400,$A8))</f>
        <v/>
      </c>
      <c r="G8" s="13" t="str">
        <f aca="false">IF(A8="","",SUM(C8:F8))</f>
        <v/>
      </c>
      <c r="H8" s="29" t="str">
        <f aca="false">IF(A8="","",C8*Premissas!$C$4)</f>
        <v/>
      </c>
      <c r="I8" s="29" t="str">
        <f aca="false">IF(A8="","",D8*Premissas!$C$5)</f>
        <v/>
      </c>
      <c r="J8" s="29" t="str">
        <f aca="false">IF(A8="","",E8*Premissas!$C$6)</f>
        <v/>
      </c>
      <c r="K8" s="29" t="str">
        <f aca="false">IF(A8="","",F8*Premissas!$C$7)</f>
        <v/>
      </c>
      <c r="L8" s="35" t="str">
        <f aca="false">IF(A8="","",SUM(H8:K8))</f>
        <v/>
      </c>
      <c r="M8" s="30" t="str">
        <f aca="false">IF(A8="","",IF(G8=0,0,L8/G8))</f>
        <v/>
      </c>
      <c r="N8" s="14" t="str">
        <f aca="false">IF(A8="","",IF(L8=0,0,I8/L8))</f>
        <v/>
      </c>
      <c r="O8" s="31" t="str">
        <f aca="false">IF(A8="","",IF(L7=0,"n/d",L8/L7-1))</f>
        <v/>
      </c>
    </row>
    <row r="9" customFormat="false" ht="14.25" hidden="false" customHeight="false" outlineLevel="0" collapsed="false">
      <c r="A9" s="34" t="str">
        <f aca="false">IF(A8="","",IF(EDATE(A8,1)&gt;MAX(Diário!$A$5:$A$400),"",EDATE(A8,1)))</f>
        <v/>
      </c>
      <c r="B9" s="13" t="str">
        <f aca="false">IF(A9="","",COUNTIFS(Diário!$H$5:$H$400,A9))</f>
        <v/>
      </c>
      <c r="C9" s="13" t="str">
        <f aca="false">IF($A9="","",SUMIFS(Diário!$B$5:$B$400,Diário!$H$5:$H$400,$A9))</f>
        <v/>
      </c>
      <c r="D9" s="13" t="str">
        <f aca="false">IF($A9="","",SUMIFS(Diário!$E$5:$E$400,Diário!$H$5:$H$400,$A9))</f>
        <v/>
      </c>
      <c r="E9" s="13" t="str">
        <f aca="false">IF($A9="","",SUMIFS(Diário!$D$5:$D$400,Diário!$H$5:$H$400,$A9))</f>
        <v/>
      </c>
      <c r="F9" s="13" t="str">
        <f aca="false">IF($A9="","",SUMIFS(Diário!$C$5:$C$400,Diário!$H$5:$H$400,$A9))</f>
        <v/>
      </c>
      <c r="G9" s="13" t="str">
        <f aca="false">IF(A9="","",SUM(C9:F9))</f>
        <v/>
      </c>
      <c r="H9" s="29" t="str">
        <f aca="false">IF(A9="","",C9*Premissas!$C$4)</f>
        <v/>
      </c>
      <c r="I9" s="29" t="str">
        <f aca="false">IF(A9="","",D9*Premissas!$C$5)</f>
        <v/>
      </c>
      <c r="J9" s="29" t="str">
        <f aca="false">IF(A9="","",E9*Premissas!$C$6)</f>
        <v/>
      </c>
      <c r="K9" s="29" t="str">
        <f aca="false">IF(A9="","",F9*Premissas!$C$7)</f>
        <v/>
      </c>
      <c r="L9" s="35" t="str">
        <f aca="false">IF(A9="","",SUM(H9:K9))</f>
        <v/>
      </c>
      <c r="M9" s="30" t="str">
        <f aca="false">IF(A9="","",IF(G9=0,0,L9/G9))</f>
        <v/>
      </c>
      <c r="N9" s="14" t="str">
        <f aca="false">IF(A9="","",IF(L9=0,0,I9/L9))</f>
        <v/>
      </c>
      <c r="O9" s="31" t="str">
        <f aca="false">IF(A9="","",IF(L8=0,"n/d",L9/L8-1))</f>
        <v/>
      </c>
    </row>
    <row r="10" customFormat="false" ht="14.25" hidden="false" customHeight="false" outlineLevel="0" collapsed="false">
      <c r="A10" s="34" t="str">
        <f aca="false">IF(A9="","",IF(EDATE(A9,1)&gt;MAX(Diário!$A$5:$A$400),"",EDATE(A9,1)))</f>
        <v/>
      </c>
      <c r="B10" s="13" t="str">
        <f aca="false">IF(A10="","",COUNTIFS(Diário!$H$5:$H$400,A10))</f>
        <v/>
      </c>
      <c r="C10" s="13" t="str">
        <f aca="false">IF($A10="","",SUMIFS(Diário!$B$5:$B$400,Diário!$H$5:$H$400,$A10))</f>
        <v/>
      </c>
      <c r="D10" s="13" t="str">
        <f aca="false">IF($A10="","",SUMIFS(Diário!$E$5:$E$400,Diário!$H$5:$H$400,$A10))</f>
        <v/>
      </c>
      <c r="E10" s="13" t="str">
        <f aca="false">IF($A10="","",SUMIFS(Diário!$D$5:$D$400,Diário!$H$5:$H$400,$A10))</f>
        <v/>
      </c>
      <c r="F10" s="13" t="str">
        <f aca="false">IF($A10="","",SUMIFS(Diário!$C$5:$C$400,Diário!$H$5:$H$400,$A10))</f>
        <v/>
      </c>
      <c r="G10" s="13" t="str">
        <f aca="false">IF(A10="","",SUM(C10:F10))</f>
        <v/>
      </c>
      <c r="H10" s="29" t="str">
        <f aca="false">IF(A10="","",C10*Premissas!$C$4)</f>
        <v/>
      </c>
      <c r="I10" s="29" t="str">
        <f aca="false">IF(A10="","",D10*Premissas!$C$5)</f>
        <v/>
      </c>
      <c r="J10" s="29" t="str">
        <f aca="false">IF(A10="","",E10*Premissas!$C$6)</f>
        <v/>
      </c>
      <c r="K10" s="29" t="str">
        <f aca="false">IF(A10="","",F10*Premissas!$C$7)</f>
        <v/>
      </c>
      <c r="L10" s="35" t="str">
        <f aca="false">IF(A10="","",SUM(H10:K10))</f>
        <v/>
      </c>
      <c r="M10" s="30" t="str">
        <f aca="false">IF(A10="","",IF(G10=0,0,L10/G10))</f>
        <v/>
      </c>
      <c r="N10" s="14" t="str">
        <f aca="false">IF(A10="","",IF(L10=0,0,I10/L10))</f>
        <v/>
      </c>
      <c r="O10" s="31" t="str">
        <f aca="false">IF(A10="","",IF(L9=0,"n/d",L10/L9-1))</f>
        <v/>
      </c>
    </row>
    <row r="11" customFormat="false" ht="14.25" hidden="false" customHeight="false" outlineLevel="0" collapsed="false">
      <c r="A11" s="34" t="str">
        <f aca="false">IF(A10="","",IF(EDATE(A10,1)&gt;MAX(Diário!$A$5:$A$400),"",EDATE(A10,1)))</f>
        <v/>
      </c>
      <c r="B11" s="13" t="str">
        <f aca="false">IF(A11="","",COUNTIFS(Diário!$H$5:$H$400,A11))</f>
        <v/>
      </c>
      <c r="C11" s="13" t="str">
        <f aca="false">IF($A11="","",SUMIFS(Diário!$B$5:$B$400,Diário!$H$5:$H$400,$A11))</f>
        <v/>
      </c>
      <c r="D11" s="13" t="str">
        <f aca="false">IF($A11="","",SUMIFS(Diário!$E$5:$E$400,Diário!$H$5:$H$400,$A11))</f>
        <v/>
      </c>
      <c r="E11" s="13" t="str">
        <f aca="false">IF($A11="","",SUMIFS(Diário!$D$5:$D$400,Diário!$H$5:$H$400,$A11))</f>
        <v/>
      </c>
      <c r="F11" s="13" t="str">
        <f aca="false">IF($A11="","",SUMIFS(Diário!$C$5:$C$400,Diário!$H$5:$H$400,$A11))</f>
        <v/>
      </c>
      <c r="G11" s="13" t="str">
        <f aca="false">IF(A11="","",SUM(C11:F11))</f>
        <v/>
      </c>
      <c r="H11" s="29" t="str">
        <f aca="false">IF(A11="","",C11*Premissas!$C$4)</f>
        <v/>
      </c>
      <c r="I11" s="29" t="str">
        <f aca="false">IF(A11="","",D11*Premissas!$C$5)</f>
        <v/>
      </c>
      <c r="J11" s="29" t="str">
        <f aca="false">IF(A11="","",E11*Premissas!$C$6)</f>
        <v/>
      </c>
      <c r="K11" s="29" t="str">
        <f aca="false">IF(A11="","",F11*Premissas!$C$7)</f>
        <v/>
      </c>
      <c r="L11" s="35" t="str">
        <f aca="false">IF(A11="","",SUM(H11:K11))</f>
        <v/>
      </c>
      <c r="M11" s="30" t="str">
        <f aca="false">IF(A11="","",IF(G11=0,0,L11/G11))</f>
        <v/>
      </c>
      <c r="N11" s="14" t="str">
        <f aca="false">IF(A11="","",IF(L11=0,0,I11/L11))</f>
        <v/>
      </c>
      <c r="O11" s="31" t="str">
        <f aca="false">IF(A11="","",IF(L10=0,"n/d",L11/L10-1))</f>
        <v/>
      </c>
    </row>
    <row r="12" customFormat="false" ht="14.25" hidden="false" customHeight="false" outlineLevel="0" collapsed="false">
      <c r="A12" s="34" t="str">
        <f aca="false">IF(A11="","",IF(EDATE(A11,1)&gt;MAX(Diário!$A$5:$A$400),"",EDATE(A11,1)))</f>
        <v/>
      </c>
      <c r="B12" s="13" t="str">
        <f aca="false">IF(A12="","",COUNTIFS(Diário!$H$5:$H$400,A12))</f>
        <v/>
      </c>
      <c r="C12" s="13" t="str">
        <f aca="false">IF($A12="","",SUMIFS(Diário!$B$5:$B$400,Diário!$H$5:$H$400,$A12))</f>
        <v/>
      </c>
      <c r="D12" s="13" t="str">
        <f aca="false">IF($A12="","",SUMIFS(Diário!$E$5:$E$400,Diário!$H$5:$H$400,$A12))</f>
        <v/>
      </c>
      <c r="E12" s="13" t="str">
        <f aca="false">IF($A12="","",SUMIFS(Diário!$D$5:$D$400,Diário!$H$5:$H$400,$A12))</f>
        <v/>
      </c>
      <c r="F12" s="13" t="str">
        <f aca="false">IF($A12="","",SUMIFS(Diário!$C$5:$C$400,Diário!$H$5:$H$400,$A12))</f>
        <v/>
      </c>
      <c r="G12" s="13" t="str">
        <f aca="false">IF(A12="","",SUM(C12:F12))</f>
        <v/>
      </c>
      <c r="H12" s="29" t="str">
        <f aca="false">IF(A12="","",C12*Premissas!$C$4)</f>
        <v/>
      </c>
      <c r="I12" s="29" t="str">
        <f aca="false">IF(A12="","",D12*Premissas!$C$5)</f>
        <v/>
      </c>
      <c r="J12" s="29" t="str">
        <f aca="false">IF(A12="","",E12*Premissas!$C$6)</f>
        <v/>
      </c>
      <c r="K12" s="29" t="str">
        <f aca="false">IF(A12="","",F12*Premissas!$C$7)</f>
        <v/>
      </c>
      <c r="L12" s="35" t="str">
        <f aca="false">IF(A12="","",SUM(H12:K12))</f>
        <v/>
      </c>
      <c r="M12" s="30" t="str">
        <f aca="false">IF(A12="","",IF(G12=0,0,L12/G12))</f>
        <v/>
      </c>
      <c r="N12" s="14" t="str">
        <f aca="false">IF(A12="","",IF(L12=0,0,I12/L12))</f>
        <v/>
      </c>
      <c r="O12" s="31" t="str">
        <f aca="false">IF(A12="","",IF(L11=0,"n/d",L12/L11-1))</f>
        <v/>
      </c>
    </row>
    <row r="13" customFormat="false" ht="14.25" hidden="false" customHeight="false" outlineLevel="0" collapsed="false">
      <c r="A13" s="34" t="str">
        <f aca="false">IF(A12="","",IF(EDATE(A12,1)&gt;MAX(Diário!$A$5:$A$400),"",EDATE(A12,1)))</f>
        <v/>
      </c>
      <c r="B13" s="13" t="str">
        <f aca="false">IF(A13="","",COUNTIFS(Diário!$H$5:$H$400,A13))</f>
        <v/>
      </c>
      <c r="C13" s="13" t="str">
        <f aca="false">IF($A13="","",SUMIFS(Diário!$B$5:$B$400,Diário!$H$5:$H$400,$A13))</f>
        <v/>
      </c>
      <c r="D13" s="13" t="str">
        <f aca="false">IF($A13="","",SUMIFS(Diário!$E$5:$E$400,Diário!$H$5:$H$400,$A13))</f>
        <v/>
      </c>
      <c r="E13" s="13" t="str">
        <f aca="false">IF($A13="","",SUMIFS(Diário!$D$5:$D$400,Diário!$H$5:$H$400,$A13))</f>
        <v/>
      </c>
      <c r="F13" s="13" t="str">
        <f aca="false">IF($A13="","",SUMIFS(Diário!$C$5:$C$400,Diário!$H$5:$H$400,$A13))</f>
        <v/>
      </c>
      <c r="G13" s="13" t="str">
        <f aca="false">IF(A13="","",SUM(C13:F13))</f>
        <v/>
      </c>
      <c r="H13" s="29" t="str">
        <f aca="false">IF(A13="","",C13*Premissas!$C$4)</f>
        <v/>
      </c>
      <c r="I13" s="29" t="str">
        <f aca="false">IF(A13="","",D13*Premissas!$C$5)</f>
        <v/>
      </c>
      <c r="J13" s="29" t="str">
        <f aca="false">IF(A13="","",E13*Premissas!$C$6)</f>
        <v/>
      </c>
      <c r="K13" s="29" t="str">
        <f aca="false">IF(A13="","",F13*Premissas!$C$7)</f>
        <v/>
      </c>
      <c r="L13" s="35" t="str">
        <f aca="false">IF(A13="","",SUM(H13:K13))</f>
        <v/>
      </c>
      <c r="M13" s="30" t="str">
        <f aca="false">IF(A13="","",IF(G13=0,0,L13/G13))</f>
        <v/>
      </c>
      <c r="N13" s="14" t="str">
        <f aca="false">IF(A13="","",IF(L13=0,0,I13/L13))</f>
        <v/>
      </c>
      <c r="O13" s="31" t="str">
        <f aca="false">IF(A13="","",IF(L12=0,"n/d",L13/L12-1))</f>
        <v/>
      </c>
    </row>
    <row r="14" customFormat="false" ht="14.25" hidden="false" customHeight="false" outlineLevel="0" collapsed="false">
      <c r="A14" s="34" t="str">
        <f aca="false">IF(A13="","",IF(EDATE(A13,1)&gt;MAX(Diário!$A$5:$A$400),"",EDATE(A13,1)))</f>
        <v/>
      </c>
      <c r="B14" s="13" t="str">
        <f aca="false">IF(A14="","",COUNTIFS(Diário!$H$5:$H$400,A14))</f>
        <v/>
      </c>
      <c r="C14" s="13" t="str">
        <f aca="false">IF($A14="","",SUMIFS(Diário!$B$5:$B$400,Diário!$H$5:$H$400,$A14))</f>
        <v/>
      </c>
      <c r="D14" s="13" t="str">
        <f aca="false">IF($A14="","",SUMIFS(Diário!$E$5:$E$400,Diário!$H$5:$H$400,$A14))</f>
        <v/>
      </c>
      <c r="E14" s="13" t="str">
        <f aca="false">IF($A14="","",SUMIFS(Diário!$D$5:$D$400,Diário!$H$5:$H$400,$A14))</f>
        <v/>
      </c>
      <c r="F14" s="13" t="str">
        <f aca="false">IF($A14="","",SUMIFS(Diário!$C$5:$C$400,Diário!$H$5:$H$400,$A14))</f>
        <v/>
      </c>
      <c r="G14" s="13" t="str">
        <f aca="false">IF(A14="","",SUM(C14:F14))</f>
        <v/>
      </c>
      <c r="H14" s="29" t="str">
        <f aca="false">IF(A14="","",C14*Premissas!$C$4)</f>
        <v/>
      </c>
      <c r="I14" s="29" t="str">
        <f aca="false">IF(A14="","",D14*Premissas!$C$5)</f>
        <v/>
      </c>
      <c r="J14" s="29" t="str">
        <f aca="false">IF(A14="","",E14*Premissas!$C$6)</f>
        <v/>
      </c>
      <c r="K14" s="29" t="str">
        <f aca="false">IF(A14="","",F14*Premissas!$C$7)</f>
        <v/>
      </c>
      <c r="L14" s="35" t="str">
        <f aca="false">IF(A14="","",SUM(H14:K14))</f>
        <v/>
      </c>
      <c r="M14" s="30" t="str">
        <f aca="false">IF(A14="","",IF(G14=0,0,L14/G14))</f>
        <v/>
      </c>
      <c r="N14" s="14" t="str">
        <f aca="false">IF(A14="","",IF(L14=0,0,I14/L14))</f>
        <v/>
      </c>
      <c r="O14" s="31" t="str">
        <f aca="false">IF(A14="","",IF(L13=0,"n/d",L14/L13-1))</f>
        <v/>
      </c>
    </row>
    <row r="15" customFormat="false" ht="14.25" hidden="false" customHeight="false" outlineLevel="0" collapsed="false">
      <c r="A15" s="34" t="str">
        <f aca="false">IF(A14="","",IF(EDATE(A14,1)&gt;MAX(Diário!$A$5:$A$400),"",EDATE(A14,1)))</f>
        <v/>
      </c>
      <c r="B15" s="13" t="str">
        <f aca="false">IF(A15="","",COUNTIFS(Diário!$H$5:$H$400,A15))</f>
        <v/>
      </c>
      <c r="C15" s="13" t="str">
        <f aca="false">IF($A15="","",SUMIFS(Diário!$B$5:$B$400,Diário!$H$5:$H$400,$A15))</f>
        <v/>
      </c>
      <c r="D15" s="13" t="str">
        <f aca="false">IF($A15="","",SUMIFS(Diário!$E$5:$E$400,Diário!$H$5:$H$400,$A15))</f>
        <v/>
      </c>
      <c r="E15" s="13" t="str">
        <f aca="false">IF($A15="","",SUMIFS(Diário!$D$5:$D$400,Diário!$H$5:$H$400,$A15))</f>
        <v/>
      </c>
      <c r="F15" s="13" t="str">
        <f aca="false">IF($A15="","",SUMIFS(Diário!$C$5:$C$400,Diário!$H$5:$H$400,$A15))</f>
        <v/>
      </c>
      <c r="G15" s="13" t="str">
        <f aca="false">IF(A15="","",SUM(C15:F15))</f>
        <v/>
      </c>
      <c r="H15" s="29" t="str">
        <f aca="false">IF(A15="","",C15*Premissas!$C$4)</f>
        <v/>
      </c>
      <c r="I15" s="29" t="str">
        <f aca="false">IF(A15="","",D15*Premissas!$C$5)</f>
        <v/>
      </c>
      <c r="J15" s="29" t="str">
        <f aca="false">IF(A15="","",E15*Premissas!$C$6)</f>
        <v/>
      </c>
      <c r="K15" s="29" t="str">
        <f aca="false">IF(A15="","",F15*Premissas!$C$7)</f>
        <v/>
      </c>
      <c r="L15" s="35" t="str">
        <f aca="false">IF(A15="","",SUM(H15:K15))</f>
        <v/>
      </c>
      <c r="M15" s="30" t="str">
        <f aca="false">IF(A15="","",IF(G15=0,0,L15/G15))</f>
        <v/>
      </c>
      <c r="N15" s="14" t="str">
        <f aca="false">IF(A15="","",IF(L15=0,0,I15/L15))</f>
        <v/>
      </c>
      <c r="O15" s="31" t="str">
        <f aca="false">IF(A15="","",IF(L14=0,"n/d",L15/L14-1))</f>
        <v/>
      </c>
    </row>
    <row r="16" customFormat="false" ht="14.25" hidden="false" customHeight="false" outlineLevel="0" collapsed="false">
      <c r="A16" s="34" t="str">
        <f aca="false">IF(A15="","",IF(EDATE(A15,1)&gt;MAX(Diário!$A$5:$A$400),"",EDATE(A15,1)))</f>
        <v/>
      </c>
      <c r="B16" s="13" t="str">
        <f aca="false">IF(A16="","",COUNTIFS(Diário!$H$5:$H$400,A16))</f>
        <v/>
      </c>
      <c r="C16" s="13" t="str">
        <f aca="false">IF($A16="","",SUMIFS(Diário!$B$5:$B$400,Diário!$H$5:$H$400,$A16))</f>
        <v/>
      </c>
      <c r="D16" s="13" t="str">
        <f aca="false">IF($A16="","",SUMIFS(Diário!$E$5:$E$400,Diário!$H$5:$H$400,$A16))</f>
        <v/>
      </c>
      <c r="E16" s="13" t="str">
        <f aca="false">IF($A16="","",SUMIFS(Diário!$D$5:$D$400,Diário!$H$5:$H$400,$A16))</f>
        <v/>
      </c>
      <c r="F16" s="13" t="str">
        <f aca="false">IF($A16="","",SUMIFS(Diário!$C$5:$C$400,Diário!$H$5:$H$400,$A16))</f>
        <v/>
      </c>
      <c r="G16" s="13" t="str">
        <f aca="false">IF(A16="","",SUM(C16:F16))</f>
        <v/>
      </c>
      <c r="H16" s="29" t="str">
        <f aca="false">IF(A16="","",C16*Premissas!$C$4)</f>
        <v/>
      </c>
      <c r="I16" s="29" t="str">
        <f aca="false">IF(A16="","",D16*Premissas!$C$5)</f>
        <v/>
      </c>
      <c r="J16" s="29" t="str">
        <f aca="false">IF(A16="","",E16*Premissas!$C$6)</f>
        <v/>
      </c>
      <c r="K16" s="29" t="str">
        <f aca="false">IF(A16="","",F16*Premissas!$C$7)</f>
        <v/>
      </c>
      <c r="L16" s="35" t="str">
        <f aca="false">IF(A16="","",SUM(H16:K16))</f>
        <v/>
      </c>
      <c r="M16" s="30" t="str">
        <f aca="false">IF(A16="","",IF(G16=0,0,L16/G16))</f>
        <v/>
      </c>
      <c r="N16" s="14" t="str">
        <f aca="false">IF(A16="","",IF(L16=0,0,I16/L16))</f>
        <v/>
      </c>
      <c r="O16" s="31" t="str">
        <f aca="false">IF(A16="","",IF(L15=0,"n/d",L16/L15-1))</f>
        <v/>
      </c>
    </row>
    <row r="17" customFormat="false" ht="14.25" hidden="false" customHeight="false" outlineLevel="0" collapsed="false">
      <c r="A17" s="34" t="str">
        <f aca="false">IF(A16="","",IF(EDATE(A16,1)&gt;MAX(Diário!$A$5:$A$400),"",EDATE(A16,1)))</f>
        <v/>
      </c>
      <c r="B17" s="13" t="str">
        <f aca="false">IF(A17="","",COUNTIFS(Diário!$H$5:$H$400,A17))</f>
        <v/>
      </c>
      <c r="C17" s="13" t="str">
        <f aca="false">IF($A17="","",SUMIFS(Diário!$B$5:$B$400,Diário!$H$5:$H$400,$A17))</f>
        <v/>
      </c>
      <c r="D17" s="13" t="str">
        <f aca="false">IF($A17="","",SUMIFS(Diário!$E$5:$E$400,Diário!$H$5:$H$400,$A17))</f>
        <v/>
      </c>
      <c r="E17" s="13" t="str">
        <f aca="false">IF($A17="","",SUMIFS(Diário!$D$5:$D$400,Diário!$H$5:$H$400,$A17))</f>
        <v/>
      </c>
      <c r="F17" s="13" t="str">
        <f aca="false">IF($A17="","",SUMIFS(Diário!$C$5:$C$400,Diário!$H$5:$H$400,$A17))</f>
        <v/>
      </c>
      <c r="G17" s="13" t="str">
        <f aca="false">IF(A17="","",SUM(C17:F17))</f>
        <v/>
      </c>
      <c r="H17" s="29" t="str">
        <f aca="false">IF(A17="","",C17*Premissas!$C$4)</f>
        <v/>
      </c>
      <c r="I17" s="29" t="str">
        <f aca="false">IF(A17="","",D17*Premissas!$C$5)</f>
        <v/>
      </c>
      <c r="J17" s="29" t="str">
        <f aca="false">IF(A17="","",E17*Premissas!$C$6)</f>
        <v/>
      </c>
      <c r="K17" s="29" t="str">
        <f aca="false">IF(A17="","",F17*Premissas!$C$7)</f>
        <v/>
      </c>
      <c r="L17" s="35" t="str">
        <f aca="false">IF(A17="","",SUM(H17:K17))</f>
        <v/>
      </c>
      <c r="M17" s="30" t="str">
        <f aca="false">IF(A17="","",IF(G17=0,0,L17/G17))</f>
        <v/>
      </c>
      <c r="N17" s="14" t="str">
        <f aca="false">IF(A17="","",IF(L17=0,0,I17/L17))</f>
        <v/>
      </c>
      <c r="O17" s="31" t="str">
        <f aca="false">IF(A17="","",IF(L16=0,"n/d",L17/L16-1))</f>
        <v/>
      </c>
    </row>
    <row r="18" customFormat="false" ht="14.25" hidden="false" customHeight="false" outlineLevel="0" collapsed="false">
      <c r="A18" s="34" t="str">
        <f aca="false">IF(A17="","",IF(EDATE(A17,1)&gt;MAX(Diário!$A$5:$A$400),"",EDATE(A17,1)))</f>
        <v/>
      </c>
      <c r="B18" s="13" t="str">
        <f aca="false">IF(A18="","",COUNTIFS(Diário!$H$5:$H$400,A18))</f>
        <v/>
      </c>
      <c r="C18" s="13" t="str">
        <f aca="false">IF($A18="","",SUMIFS(Diário!$B$5:$B$400,Diário!$H$5:$H$400,$A18))</f>
        <v/>
      </c>
      <c r="D18" s="13" t="str">
        <f aca="false">IF($A18="","",SUMIFS(Diário!$E$5:$E$400,Diário!$H$5:$H$400,$A18))</f>
        <v/>
      </c>
      <c r="E18" s="13" t="str">
        <f aca="false">IF($A18="","",SUMIFS(Diário!$D$5:$D$400,Diário!$H$5:$H$400,$A18))</f>
        <v/>
      </c>
      <c r="F18" s="13" t="str">
        <f aca="false">IF($A18="","",SUMIFS(Diário!$C$5:$C$400,Diário!$H$5:$H$400,$A18))</f>
        <v/>
      </c>
      <c r="G18" s="13" t="str">
        <f aca="false">IF(A18="","",SUM(C18:F18))</f>
        <v/>
      </c>
      <c r="H18" s="29" t="str">
        <f aca="false">IF(A18="","",C18*Premissas!$C$4)</f>
        <v/>
      </c>
      <c r="I18" s="29" t="str">
        <f aca="false">IF(A18="","",D18*Premissas!$C$5)</f>
        <v/>
      </c>
      <c r="J18" s="29" t="str">
        <f aca="false">IF(A18="","",E18*Premissas!$C$6)</f>
        <v/>
      </c>
      <c r="K18" s="29" t="str">
        <f aca="false">IF(A18="","",F18*Premissas!$C$7)</f>
        <v/>
      </c>
      <c r="L18" s="35" t="str">
        <f aca="false">IF(A18="","",SUM(H18:K18))</f>
        <v/>
      </c>
      <c r="M18" s="30" t="str">
        <f aca="false">IF(A18="","",IF(G18=0,0,L18/G18))</f>
        <v/>
      </c>
      <c r="N18" s="14" t="str">
        <f aca="false">IF(A18="","",IF(L18=0,0,I18/L18))</f>
        <v/>
      </c>
      <c r="O18" s="31" t="str">
        <f aca="false">IF(A18="","",IF(L17=0,"n/d",L18/L17-1))</f>
        <v/>
      </c>
    </row>
    <row r="19" customFormat="false" ht="14.25" hidden="false" customHeight="false" outlineLevel="0" collapsed="false">
      <c r="A19" s="34" t="str">
        <f aca="false">IF(A18="","",IF(EDATE(A18,1)&gt;MAX(Diário!$A$5:$A$400),"",EDATE(A18,1)))</f>
        <v/>
      </c>
      <c r="B19" s="13" t="str">
        <f aca="false">IF(A19="","",COUNTIFS(Diário!$H$5:$H$400,A19))</f>
        <v/>
      </c>
      <c r="C19" s="13" t="str">
        <f aca="false">IF($A19="","",SUMIFS(Diário!$B$5:$B$400,Diário!$H$5:$H$400,$A19))</f>
        <v/>
      </c>
      <c r="D19" s="13" t="str">
        <f aca="false">IF($A19="","",SUMIFS(Diário!$E$5:$E$400,Diário!$H$5:$H$400,$A19))</f>
        <v/>
      </c>
      <c r="E19" s="13" t="str">
        <f aca="false">IF($A19="","",SUMIFS(Diário!$D$5:$D$400,Diário!$H$5:$H$400,$A19))</f>
        <v/>
      </c>
      <c r="F19" s="13" t="str">
        <f aca="false">IF($A19="","",SUMIFS(Diário!$C$5:$C$400,Diário!$H$5:$H$400,$A19))</f>
        <v/>
      </c>
      <c r="G19" s="13" t="str">
        <f aca="false">IF(A19="","",SUM(C19:F19))</f>
        <v/>
      </c>
      <c r="H19" s="29" t="str">
        <f aca="false">IF(A19="","",C19*Premissas!$C$4)</f>
        <v/>
      </c>
      <c r="I19" s="29" t="str">
        <f aca="false">IF(A19="","",D19*Premissas!$C$5)</f>
        <v/>
      </c>
      <c r="J19" s="29" t="str">
        <f aca="false">IF(A19="","",E19*Premissas!$C$6)</f>
        <v/>
      </c>
      <c r="K19" s="29" t="str">
        <f aca="false">IF(A19="","",F19*Premissas!$C$7)</f>
        <v/>
      </c>
      <c r="L19" s="35" t="str">
        <f aca="false">IF(A19="","",SUM(H19:K19))</f>
        <v/>
      </c>
      <c r="M19" s="30" t="str">
        <f aca="false">IF(A19="","",IF(G19=0,0,L19/G19))</f>
        <v/>
      </c>
      <c r="N19" s="14" t="str">
        <f aca="false">IF(A19="","",IF(L19=0,0,I19/L19))</f>
        <v/>
      </c>
      <c r="O19" s="31" t="str">
        <f aca="false">IF(A19="","",IF(L18=0,"n/d",L19/L18-1))</f>
        <v/>
      </c>
    </row>
    <row r="20" customFormat="false" ht="14.25" hidden="false" customHeight="false" outlineLevel="0" collapsed="false">
      <c r="A20" s="34" t="str">
        <f aca="false">IF(A19="","",IF(EDATE(A19,1)&gt;MAX(Diário!$A$5:$A$400),"",EDATE(A19,1)))</f>
        <v/>
      </c>
      <c r="B20" s="13" t="str">
        <f aca="false">IF(A20="","",COUNTIFS(Diário!$H$5:$H$400,A20))</f>
        <v/>
      </c>
      <c r="C20" s="13" t="str">
        <f aca="false">IF($A20="","",SUMIFS(Diário!$B$5:$B$400,Diário!$H$5:$H$400,$A20))</f>
        <v/>
      </c>
      <c r="D20" s="13" t="str">
        <f aca="false">IF($A20="","",SUMIFS(Diário!$E$5:$E$400,Diário!$H$5:$H$400,$A20))</f>
        <v/>
      </c>
      <c r="E20" s="13" t="str">
        <f aca="false">IF($A20="","",SUMIFS(Diário!$D$5:$D$400,Diário!$H$5:$H$400,$A20))</f>
        <v/>
      </c>
      <c r="F20" s="13" t="str">
        <f aca="false">IF($A20="","",SUMIFS(Diário!$C$5:$C$400,Diário!$H$5:$H$400,$A20))</f>
        <v/>
      </c>
      <c r="G20" s="13" t="str">
        <f aca="false">IF(A20="","",SUM(C20:F20))</f>
        <v/>
      </c>
      <c r="H20" s="29" t="str">
        <f aca="false">IF(A20="","",C20*Premissas!$C$4)</f>
        <v/>
      </c>
      <c r="I20" s="29" t="str">
        <f aca="false">IF(A20="","",D20*Premissas!$C$5)</f>
        <v/>
      </c>
      <c r="J20" s="29" t="str">
        <f aca="false">IF(A20="","",E20*Premissas!$C$6)</f>
        <v/>
      </c>
      <c r="K20" s="29" t="str">
        <f aca="false">IF(A20="","",F20*Premissas!$C$7)</f>
        <v/>
      </c>
      <c r="L20" s="35" t="str">
        <f aca="false">IF(A20="","",SUM(H20:K20))</f>
        <v/>
      </c>
      <c r="M20" s="30" t="str">
        <f aca="false">IF(A20="","",IF(G20=0,0,L20/G20))</f>
        <v/>
      </c>
      <c r="N20" s="14" t="str">
        <f aca="false">IF(A20="","",IF(L20=0,0,I20/L20))</f>
        <v/>
      </c>
      <c r="O20" s="31" t="str">
        <f aca="false">IF(A20="","",IF(L19=0,"n/d",L20/L19-1))</f>
        <v/>
      </c>
    </row>
    <row r="21" customFormat="false" ht="14.25" hidden="false" customHeight="false" outlineLevel="0" collapsed="false">
      <c r="A21" s="34" t="str">
        <f aca="false">IF(A20="","",IF(EDATE(A20,1)&gt;MAX(Diário!$A$5:$A$400),"",EDATE(A20,1)))</f>
        <v/>
      </c>
      <c r="B21" s="13" t="str">
        <f aca="false">IF(A21="","",COUNTIFS(Diário!$H$5:$H$400,A21))</f>
        <v/>
      </c>
      <c r="C21" s="13" t="str">
        <f aca="false">IF($A21="","",SUMIFS(Diário!$B$5:$B$400,Diário!$H$5:$H$400,$A21))</f>
        <v/>
      </c>
      <c r="D21" s="13" t="str">
        <f aca="false">IF($A21="","",SUMIFS(Diário!$E$5:$E$400,Diário!$H$5:$H$400,$A21))</f>
        <v/>
      </c>
      <c r="E21" s="13" t="str">
        <f aca="false">IF($A21="","",SUMIFS(Diário!$D$5:$D$400,Diário!$H$5:$H$400,$A21))</f>
        <v/>
      </c>
      <c r="F21" s="13" t="str">
        <f aca="false">IF($A21="","",SUMIFS(Diário!$C$5:$C$400,Diário!$H$5:$H$400,$A21))</f>
        <v/>
      </c>
      <c r="G21" s="13" t="str">
        <f aca="false">IF(A21="","",SUM(C21:F21))</f>
        <v/>
      </c>
      <c r="H21" s="29" t="str">
        <f aca="false">IF(A21="","",C21*Premissas!$C$4)</f>
        <v/>
      </c>
      <c r="I21" s="29" t="str">
        <f aca="false">IF(A21="","",D21*Premissas!$C$5)</f>
        <v/>
      </c>
      <c r="J21" s="29" t="str">
        <f aca="false">IF(A21="","",E21*Premissas!$C$6)</f>
        <v/>
      </c>
      <c r="K21" s="29" t="str">
        <f aca="false">IF(A21="","",F21*Premissas!$C$7)</f>
        <v/>
      </c>
      <c r="L21" s="35" t="str">
        <f aca="false">IF(A21="","",SUM(H21:K21))</f>
        <v/>
      </c>
      <c r="M21" s="30" t="str">
        <f aca="false">IF(A21="","",IF(G21=0,0,L21/G21))</f>
        <v/>
      </c>
      <c r="N21" s="14" t="str">
        <f aca="false">IF(A21="","",IF(L21=0,0,I21/L21))</f>
        <v/>
      </c>
      <c r="O21" s="31" t="str">
        <f aca="false">IF(A21="","",IF(L20=0,"n/d",L21/L20-1))</f>
        <v/>
      </c>
    </row>
    <row r="22" customFormat="false" ht="14.25" hidden="false" customHeight="false" outlineLevel="0" collapsed="false">
      <c r="A22" s="34" t="str">
        <f aca="false">IF(A21="","",IF(EDATE(A21,1)&gt;MAX(Diário!$A$5:$A$400),"",EDATE(A21,1)))</f>
        <v/>
      </c>
      <c r="B22" s="13" t="str">
        <f aca="false">IF(A22="","",COUNTIFS(Diário!$H$5:$H$400,A22))</f>
        <v/>
      </c>
      <c r="C22" s="13" t="str">
        <f aca="false">IF($A22="","",SUMIFS(Diário!$B$5:$B$400,Diário!$H$5:$H$400,$A22))</f>
        <v/>
      </c>
      <c r="D22" s="13" t="str">
        <f aca="false">IF($A22="","",SUMIFS(Diário!$E$5:$E$400,Diário!$H$5:$H$400,$A22))</f>
        <v/>
      </c>
      <c r="E22" s="13" t="str">
        <f aca="false">IF($A22="","",SUMIFS(Diário!$D$5:$D$400,Diário!$H$5:$H$400,$A22))</f>
        <v/>
      </c>
      <c r="F22" s="13" t="str">
        <f aca="false">IF($A22="","",SUMIFS(Diário!$C$5:$C$400,Diário!$H$5:$H$400,$A22))</f>
        <v/>
      </c>
      <c r="G22" s="13" t="str">
        <f aca="false">IF(A22="","",SUM(C22:F22))</f>
        <v/>
      </c>
      <c r="H22" s="29" t="str">
        <f aca="false">IF(A22="","",C22*Premissas!$C$4)</f>
        <v/>
      </c>
      <c r="I22" s="29" t="str">
        <f aca="false">IF(A22="","",D22*Premissas!$C$5)</f>
        <v/>
      </c>
      <c r="J22" s="29" t="str">
        <f aca="false">IF(A22="","",E22*Premissas!$C$6)</f>
        <v/>
      </c>
      <c r="K22" s="29" t="str">
        <f aca="false">IF(A22="","",F22*Premissas!$C$7)</f>
        <v/>
      </c>
      <c r="L22" s="35" t="str">
        <f aca="false">IF(A22="","",SUM(H22:K22))</f>
        <v/>
      </c>
      <c r="M22" s="30" t="str">
        <f aca="false">IF(A22="","",IF(G22=0,0,L22/G22))</f>
        <v/>
      </c>
      <c r="N22" s="14" t="str">
        <f aca="false">IF(A22="","",IF(L22=0,0,I22/L22))</f>
        <v/>
      </c>
      <c r="O22" s="31" t="str">
        <f aca="false">IF(A22="","",IF(L21=0,"n/d",L22/L21-1))</f>
        <v/>
      </c>
    </row>
    <row r="23" customFormat="false" ht="14.25" hidden="false" customHeight="false" outlineLevel="0" collapsed="false">
      <c r="A23" s="34" t="str">
        <f aca="false">IF(A22="","",IF(EDATE(A22,1)&gt;MAX(Diário!$A$5:$A$400),"",EDATE(A22,1)))</f>
        <v/>
      </c>
      <c r="B23" s="13" t="str">
        <f aca="false">IF(A23="","",COUNTIFS(Diário!$H$5:$H$400,A23))</f>
        <v/>
      </c>
      <c r="C23" s="13" t="str">
        <f aca="false">IF($A23="","",SUMIFS(Diário!$B$5:$B$400,Diário!$H$5:$H$400,$A23))</f>
        <v/>
      </c>
      <c r="D23" s="13" t="str">
        <f aca="false">IF($A23="","",SUMIFS(Diário!$E$5:$E$400,Diário!$H$5:$H$400,$A23))</f>
        <v/>
      </c>
      <c r="E23" s="13" t="str">
        <f aca="false">IF($A23="","",SUMIFS(Diário!$D$5:$D$400,Diário!$H$5:$H$400,$A23))</f>
        <v/>
      </c>
      <c r="F23" s="13" t="str">
        <f aca="false">IF($A23="","",SUMIFS(Diário!$C$5:$C$400,Diário!$H$5:$H$400,$A23))</f>
        <v/>
      </c>
      <c r="G23" s="13" t="str">
        <f aca="false">IF(A23="","",SUM(C23:F23))</f>
        <v/>
      </c>
      <c r="H23" s="29" t="str">
        <f aca="false">IF(A23="","",C23*Premissas!$C$4)</f>
        <v/>
      </c>
      <c r="I23" s="29" t="str">
        <f aca="false">IF(A23="","",D23*Premissas!$C$5)</f>
        <v/>
      </c>
      <c r="J23" s="29" t="str">
        <f aca="false">IF(A23="","",E23*Premissas!$C$6)</f>
        <v/>
      </c>
      <c r="K23" s="29" t="str">
        <f aca="false">IF(A23="","",F23*Premissas!$C$7)</f>
        <v/>
      </c>
      <c r="L23" s="35" t="str">
        <f aca="false">IF(A23="","",SUM(H23:K23))</f>
        <v/>
      </c>
      <c r="M23" s="30" t="str">
        <f aca="false">IF(A23="","",IF(G23=0,0,L23/G23))</f>
        <v/>
      </c>
      <c r="N23" s="14" t="str">
        <f aca="false">IF(A23="","",IF(L23=0,0,I23/L23))</f>
        <v/>
      </c>
      <c r="O23" s="31" t="str">
        <f aca="false">IF(A23="","",IF(L22=0,"n/d",L23/L22-1))</f>
        <v/>
      </c>
    </row>
    <row r="24" customFormat="false" ht="14.25" hidden="false" customHeight="false" outlineLevel="0" collapsed="false">
      <c r="A24" s="34" t="str">
        <f aca="false">IF(A23="","",IF(EDATE(A23,1)&gt;MAX(Diário!$A$5:$A$400),"",EDATE(A23,1)))</f>
        <v/>
      </c>
      <c r="B24" s="13" t="str">
        <f aca="false">IF(A24="","",COUNTIFS(Diário!$H$5:$H$400,A24))</f>
        <v/>
      </c>
      <c r="C24" s="13" t="str">
        <f aca="false">IF($A24="","",SUMIFS(Diário!$B$5:$B$400,Diário!$H$5:$H$400,$A24))</f>
        <v/>
      </c>
      <c r="D24" s="13" t="str">
        <f aca="false">IF($A24="","",SUMIFS(Diário!$E$5:$E$400,Diário!$H$5:$H$400,$A24))</f>
        <v/>
      </c>
      <c r="E24" s="13" t="str">
        <f aca="false">IF($A24="","",SUMIFS(Diário!$D$5:$D$400,Diário!$H$5:$H$400,$A24))</f>
        <v/>
      </c>
      <c r="F24" s="13" t="str">
        <f aca="false">IF($A24="","",SUMIFS(Diário!$C$5:$C$400,Diário!$H$5:$H$400,$A24))</f>
        <v/>
      </c>
      <c r="G24" s="13" t="str">
        <f aca="false">IF(A24="","",SUM(C24:F24))</f>
        <v/>
      </c>
      <c r="H24" s="29" t="str">
        <f aca="false">IF(A24="","",C24*Premissas!$C$4)</f>
        <v/>
      </c>
      <c r="I24" s="29" t="str">
        <f aca="false">IF(A24="","",D24*Premissas!$C$5)</f>
        <v/>
      </c>
      <c r="J24" s="29" t="str">
        <f aca="false">IF(A24="","",E24*Premissas!$C$6)</f>
        <v/>
      </c>
      <c r="K24" s="29" t="str">
        <f aca="false">IF(A24="","",F24*Premissas!$C$7)</f>
        <v/>
      </c>
      <c r="L24" s="35" t="str">
        <f aca="false">IF(A24="","",SUM(H24:K24))</f>
        <v/>
      </c>
      <c r="M24" s="30" t="str">
        <f aca="false">IF(A24="","",IF(G24=0,0,L24/G24))</f>
        <v/>
      </c>
      <c r="N24" s="14" t="str">
        <f aca="false">IF(A24="","",IF(L24=0,0,I24/L24))</f>
        <v/>
      </c>
      <c r="O24" s="31" t="str">
        <f aca="false">IF(A24="","",IF(L23=0,"n/d",L24/L23-1))</f>
        <v/>
      </c>
    </row>
    <row r="25" customFormat="false" ht="14.25" hidden="false" customHeight="false" outlineLevel="0" collapsed="false">
      <c r="A25" s="34" t="str">
        <f aca="false">IF(A24="","",IF(EDATE(A24,1)&gt;MAX(Diário!$A$5:$A$400),"",EDATE(A24,1)))</f>
        <v/>
      </c>
      <c r="B25" s="13" t="str">
        <f aca="false">IF(A25="","",COUNTIFS(Diário!$H$5:$H$400,A25))</f>
        <v/>
      </c>
      <c r="C25" s="13" t="str">
        <f aca="false">IF($A25="","",SUMIFS(Diário!$B$5:$B$400,Diário!$H$5:$H$400,$A25))</f>
        <v/>
      </c>
      <c r="D25" s="13" t="str">
        <f aca="false">IF($A25="","",SUMIFS(Diário!$E$5:$E$400,Diário!$H$5:$H$400,$A25))</f>
        <v/>
      </c>
      <c r="E25" s="13" t="str">
        <f aca="false">IF($A25="","",SUMIFS(Diário!$D$5:$D$400,Diário!$H$5:$H$400,$A25))</f>
        <v/>
      </c>
      <c r="F25" s="13" t="str">
        <f aca="false">IF($A25="","",SUMIFS(Diário!$C$5:$C$400,Diário!$H$5:$H$400,$A25))</f>
        <v/>
      </c>
      <c r="G25" s="13" t="str">
        <f aca="false">IF(A25="","",SUM(C25:F25))</f>
        <v/>
      </c>
      <c r="H25" s="29" t="str">
        <f aca="false">IF(A25="","",C25*Premissas!$C$4)</f>
        <v/>
      </c>
      <c r="I25" s="29" t="str">
        <f aca="false">IF(A25="","",D25*Premissas!$C$5)</f>
        <v/>
      </c>
      <c r="J25" s="29" t="str">
        <f aca="false">IF(A25="","",E25*Premissas!$C$6)</f>
        <v/>
      </c>
      <c r="K25" s="29" t="str">
        <f aca="false">IF(A25="","",F25*Premissas!$C$7)</f>
        <v/>
      </c>
      <c r="L25" s="35" t="str">
        <f aca="false">IF(A25="","",SUM(H25:K25))</f>
        <v/>
      </c>
      <c r="M25" s="30" t="str">
        <f aca="false">IF(A25="","",IF(G25=0,0,L25/G25))</f>
        <v/>
      </c>
      <c r="N25" s="14" t="str">
        <f aca="false">IF(A25="","",IF(L25=0,0,I25/L25))</f>
        <v/>
      </c>
      <c r="O25" s="31" t="str">
        <f aca="false">IF(A25="","",IF(L24=0,"n/d",L25/L24-1))</f>
        <v/>
      </c>
    </row>
    <row r="26" customFormat="false" ht="14.25" hidden="false" customHeight="false" outlineLevel="0" collapsed="false">
      <c r="A26" s="34" t="str">
        <f aca="false">IF(A25="","",IF(EDATE(A25,1)&gt;MAX(Diário!$A$5:$A$400),"",EDATE(A25,1)))</f>
        <v/>
      </c>
      <c r="B26" s="13" t="str">
        <f aca="false">IF(A26="","",COUNTIFS(Diário!$H$5:$H$400,A26))</f>
        <v/>
      </c>
      <c r="C26" s="13" t="str">
        <f aca="false">IF($A26="","",SUMIFS(Diário!$B$5:$B$400,Diário!$H$5:$H$400,$A26))</f>
        <v/>
      </c>
      <c r="D26" s="13" t="str">
        <f aca="false">IF($A26="","",SUMIFS(Diário!$E$5:$E$400,Diário!$H$5:$H$400,$A26))</f>
        <v/>
      </c>
      <c r="E26" s="13" t="str">
        <f aca="false">IF($A26="","",SUMIFS(Diário!$D$5:$D$400,Diário!$H$5:$H$400,$A26))</f>
        <v/>
      </c>
      <c r="F26" s="13" t="str">
        <f aca="false">IF($A26="","",SUMIFS(Diário!$C$5:$C$400,Diário!$H$5:$H$400,$A26))</f>
        <v/>
      </c>
      <c r="G26" s="13" t="str">
        <f aca="false">IF(A26="","",SUM(C26:F26))</f>
        <v/>
      </c>
      <c r="H26" s="29" t="str">
        <f aca="false">IF(A26="","",C26*Premissas!$C$4)</f>
        <v/>
      </c>
      <c r="I26" s="29" t="str">
        <f aca="false">IF(A26="","",D26*Premissas!$C$5)</f>
        <v/>
      </c>
      <c r="J26" s="29" t="str">
        <f aca="false">IF(A26="","",E26*Premissas!$C$6)</f>
        <v/>
      </c>
      <c r="K26" s="29" t="str">
        <f aca="false">IF(A26="","",F26*Premissas!$C$7)</f>
        <v/>
      </c>
      <c r="L26" s="35" t="str">
        <f aca="false">IF(A26="","",SUM(H26:K26))</f>
        <v/>
      </c>
      <c r="M26" s="30" t="str">
        <f aca="false">IF(A26="","",IF(G26=0,0,L26/G26))</f>
        <v/>
      </c>
      <c r="N26" s="14" t="str">
        <f aca="false">IF(A26="","",IF(L26=0,0,I26/L26))</f>
        <v/>
      </c>
      <c r="O26" s="31" t="str">
        <f aca="false">IF(A26="","",IF(L25=0,"n/d",L26/L25-1))</f>
        <v/>
      </c>
    </row>
    <row r="27" customFormat="false" ht="14.25" hidden="false" customHeight="false" outlineLevel="0" collapsed="false">
      <c r="A27" s="34" t="str">
        <f aca="false">IF(A26="","",IF(EDATE(A26,1)&gt;MAX(Diário!$A$5:$A$400),"",EDATE(A26,1)))</f>
        <v/>
      </c>
      <c r="B27" s="13" t="str">
        <f aca="false">IF(A27="","",COUNTIFS(Diário!$H$5:$H$400,A27))</f>
        <v/>
      </c>
      <c r="C27" s="13" t="str">
        <f aca="false">IF($A27="","",SUMIFS(Diário!$B$5:$B$400,Diário!$H$5:$H$400,$A27))</f>
        <v/>
      </c>
      <c r="D27" s="13" t="str">
        <f aca="false">IF($A27="","",SUMIFS(Diário!$E$5:$E$400,Diário!$H$5:$H$400,$A27))</f>
        <v/>
      </c>
      <c r="E27" s="13" t="str">
        <f aca="false">IF($A27="","",SUMIFS(Diário!$D$5:$D$400,Diário!$H$5:$H$400,$A27))</f>
        <v/>
      </c>
      <c r="F27" s="13" t="str">
        <f aca="false">IF($A27="","",SUMIFS(Diário!$C$5:$C$400,Diário!$H$5:$H$400,$A27))</f>
        <v/>
      </c>
      <c r="G27" s="13" t="str">
        <f aca="false">IF(A27="","",SUM(C27:F27))</f>
        <v/>
      </c>
      <c r="H27" s="29" t="str">
        <f aca="false">IF(A27="","",C27*Premissas!$C$4)</f>
        <v/>
      </c>
      <c r="I27" s="29" t="str">
        <f aca="false">IF(A27="","",D27*Premissas!$C$5)</f>
        <v/>
      </c>
      <c r="J27" s="29" t="str">
        <f aca="false">IF(A27="","",E27*Premissas!$C$6)</f>
        <v/>
      </c>
      <c r="K27" s="29" t="str">
        <f aca="false">IF(A27="","",F27*Premissas!$C$7)</f>
        <v/>
      </c>
      <c r="L27" s="35" t="str">
        <f aca="false">IF(A27="","",SUM(H27:K27))</f>
        <v/>
      </c>
      <c r="M27" s="30" t="str">
        <f aca="false">IF(A27="","",IF(G27=0,0,L27/G27))</f>
        <v/>
      </c>
      <c r="N27" s="14" t="str">
        <f aca="false">IF(A27="","",IF(L27=0,0,I27/L27))</f>
        <v/>
      </c>
      <c r="O27" s="31" t="str">
        <f aca="false">IF(A27="","",IF(L26=0,"n/d",L27/L26-1))</f>
        <v/>
      </c>
    </row>
    <row r="28" customFormat="false" ht="14.25" hidden="false" customHeight="false" outlineLevel="0" collapsed="false">
      <c r="A28" s="34" t="str">
        <f aca="false">IF(A27="","",IF(EDATE(A27,1)&gt;MAX(Diário!$A$5:$A$400),"",EDATE(A27,1)))</f>
        <v/>
      </c>
      <c r="B28" s="13" t="str">
        <f aca="false">IF(A28="","",COUNTIFS(Diário!$H$5:$H$400,A28))</f>
        <v/>
      </c>
      <c r="C28" s="13" t="str">
        <f aca="false">IF($A28="","",SUMIFS(Diário!$B$5:$B$400,Diário!$H$5:$H$400,$A28))</f>
        <v/>
      </c>
      <c r="D28" s="13" t="str">
        <f aca="false">IF($A28="","",SUMIFS(Diário!$E$5:$E$400,Diário!$H$5:$H$400,$A28))</f>
        <v/>
      </c>
      <c r="E28" s="13" t="str">
        <f aca="false">IF($A28="","",SUMIFS(Diário!$D$5:$D$400,Diário!$H$5:$H$400,$A28))</f>
        <v/>
      </c>
      <c r="F28" s="13" t="str">
        <f aca="false">IF($A28="","",SUMIFS(Diário!$C$5:$C$400,Diário!$H$5:$H$400,$A28))</f>
        <v/>
      </c>
      <c r="G28" s="13" t="str">
        <f aca="false">IF(A28="","",SUM(C28:F28))</f>
        <v/>
      </c>
      <c r="H28" s="29" t="str">
        <f aca="false">IF(A28="","",C28*Premissas!$C$4)</f>
        <v/>
      </c>
      <c r="I28" s="29" t="str">
        <f aca="false">IF(A28="","",D28*Premissas!$C$5)</f>
        <v/>
      </c>
      <c r="J28" s="29" t="str">
        <f aca="false">IF(A28="","",E28*Premissas!$C$6)</f>
        <v/>
      </c>
      <c r="K28" s="29" t="str">
        <f aca="false">IF(A28="","",F28*Premissas!$C$7)</f>
        <v/>
      </c>
      <c r="L28" s="35" t="str">
        <f aca="false">IF(A28="","",SUM(H28:K28))</f>
        <v/>
      </c>
      <c r="M28" s="30" t="str">
        <f aca="false">IF(A28="","",IF(G28=0,0,L28/G28))</f>
        <v/>
      </c>
      <c r="N28" s="14" t="str">
        <f aca="false">IF(A28="","",IF(L28=0,0,I28/L28))</f>
        <v/>
      </c>
      <c r="O28" s="31" t="str">
        <f aca="false">IF(A28="","",IF(L27=0,"n/d",L28/L27-1))</f>
        <v/>
      </c>
    </row>
    <row r="29" customFormat="false" ht="14.25" hidden="false" customHeight="false" outlineLevel="0" collapsed="false">
      <c r="A29" s="34" t="str">
        <f aca="false">IF(A28="","",IF(EDATE(A28,1)&gt;MAX(Diário!$A$5:$A$400),"",EDATE(A28,1)))</f>
        <v/>
      </c>
      <c r="B29" s="13" t="str">
        <f aca="false">IF(A29="","",COUNTIFS(Diário!$H$5:$H$400,A29))</f>
        <v/>
      </c>
      <c r="C29" s="13" t="str">
        <f aca="false">IF($A29="","",SUMIFS(Diário!$B$5:$B$400,Diário!$H$5:$H$400,$A29))</f>
        <v/>
      </c>
      <c r="D29" s="13" t="str">
        <f aca="false">IF($A29="","",SUMIFS(Diário!$E$5:$E$400,Diário!$H$5:$H$400,$A29))</f>
        <v/>
      </c>
      <c r="E29" s="13" t="str">
        <f aca="false">IF($A29="","",SUMIFS(Diário!$D$5:$D$400,Diário!$H$5:$H$400,$A29))</f>
        <v/>
      </c>
      <c r="F29" s="13" t="str">
        <f aca="false">IF($A29="","",SUMIFS(Diário!$C$5:$C$400,Diário!$H$5:$H$400,$A29))</f>
        <v/>
      </c>
      <c r="G29" s="13" t="str">
        <f aca="false">IF(A29="","",SUM(C29:F29))</f>
        <v/>
      </c>
      <c r="H29" s="29" t="str">
        <f aca="false">IF(A29="","",C29*Premissas!$C$4)</f>
        <v/>
      </c>
      <c r="I29" s="29" t="str">
        <f aca="false">IF(A29="","",D29*Premissas!$C$5)</f>
        <v/>
      </c>
      <c r="J29" s="29" t="str">
        <f aca="false">IF(A29="","",E29*Premissas!$C$6)</f>
        <v/>
      </c>
      <c r="K29" s="29" t="str">
        <f aca="false">IF(A29="","",F29*Premissas!$C$7)</f>
        <v/>
      </c>
      <c r="L29" s="35" t="str">
        <f aca="false">IF(A29="","",SUM(H29:K29))</f>
        <v/>
      </c>
      <c r="M29" s="30" t="str">
        <f aca="false">IF(A29="","",IF(G29=0,0,L29/G29))</f>
        <v/>
      </c>
      <c r="N29" s="14" t="str">
        <f aca="false">IF(A29="","",IF(L29=0,0,I29/L29))</f>
        <v/>
      </c>
      <c r="O29" s="31" t="str">
        <f aca="false">IF(A29="","",IF(L28=0,"n/d",L29/L28-1))</f>
        <v/>
      </c>
    </row>
    <row r="30" customFormat="false" ht="14.25" hidden="false" customHeight="false" outlineLevel="0" collapsed="false">
      <c r="A30" s="34" t="str">
        <f aca="false">IF(A29="","",IF(EDATE(A29,1)&gt;MAX(Diário!$A$5:$A$400),"",EDATE(A29,1)))</f>
        <v/>
      </c>
      <c r="B30" s="13" t="str">
        <f aca="false">IF(A30="","",COUNTIFS(Diário!$H$5:$H$400,A30))</f>
        <v/>
      </c>
      <c r="C30" s="13" t="str">
        <f aca="false">IF($A30="","",SUMIFS(Diário!$B$5:$B$400,Diário!$H$5:$H$400,$A30))</f>
        <v/>
      </c>
      <c r="D30" s="13" t="str">
        <f aca="false">IF($A30="","",SUMIFS(Diário!$E$5:$E$400,Diário!$H$5:$H$400,$A30))</f>
        <v/>
      </c>
      <c r="E30" s="13" t="str">
        <f aca="false">IF($A30="","",SUMIFS(Diário!$D$5:$D$400,Diário!$H$5:$H$400,$A30))</f>
        <v/>
      </c>
      <c r="F30" s="13" t="str">
        <f aca="false">IF($A30="","",SUMIFS(Diário!$C$5:$C$400,Diário!$H$5:$H$400,$A30))</f>
        <v/>
      </c>
      <c r="G30" s="13" t="str">
        <f aca="false">IF(A30="","",SUM(C30:F30))</f>
        <v/>
      </c>
      <c r="H30" s="29" t="str">
        <f aca="false">IF(A30="","",C30*Premissas!$C$4)</f>
        <v/>
      </c>
      <c r="I30" s="29" t="str">
        <f aca="false">IF(A30="","",D30*Premissas!$C$5)</f>
        <v/>
      </c>
      <c r="J30" s="29" t="str">
        <f aca="false">IF(A30="","",E30*Premissas!$C$6)</f>
        <v/>
      </c>
      <c r="K30" s="29" t="str">
        <f aca="false">IF(A30="","",F30*Premissas!$C$7)</f>
        <v/>
      </c>
      <c r="L30" s="35" t="str">
        <f aca="false">IF(A30="","",SUM(H30:K30))</f>
        <v/>
      </c>
      <c r="M30" s="30" t="str">
        <f aca="false">IF(A30="","",IF(G30=0,0,L30/G30))</f>
        <v/>
      </c>
      <c r="N30" s="14" t="str">
        <f aca="false">IF(A30="","",IF(L30=0,0,I30/L30))</f>
        <v/>
      </c>
      <c r="O30" s="31" t="str">
        <f aca="false">IF(A30="","",IF(L29=0,"n/d",L30/L29-1))</f>
        <v/>
      </c>
    </row>
    <row r="31" customFormat="false" ht="14.25" hidden="false" customHeight="false" outlineLevel="0" collapsed="false">
      <c r="A31" s="34" t="str">
        <f aca="false">IF(A30="","",IF(EDATE(A30,1)&gt;MAX(Diário!$A$5:$A$400),"",EDATE(A30,1)))</f>
        <v/>
      </c>
      <c r="B31" s="13" t="str">
        <f aca="false">IF(A31="","",COUNTIFS(Diário!$H$5:$H$400,A31))</f>
        <v/>
      </c>
      <c r="C31" s="13" t="str">
        <f aca="false">IF($A31="","",SUMIFS(Diário!$B$5:$B$400,Diário!$H$5:$H$400,$A31))</f>
        <v/>
      </c>
      <c r="D31" s="13" t="str">
        <f aca="false">IF($A31="","",SUMIFS(Diário!$E$5:$E$400,Diário!$H$5:$H$400,$A31))</f>
        <v/>
      </c>
      <c r="E31" s="13" t="str">
        <f aca="false">IF($A31="","",SUMIFS(Diário!$D$5:$D$400,Diário!$H$5:$H$400,$A31))</f>
        <v/>
      </c>
      <c r="F31" s="13" t="str">
        <f aca="false">IF($A31="","",SUMIFS(Diário!$C$5:$C$400,Diário!$H$5:$H$400,$A31))</f>
        <v/>
      </c>
      <c r="G31" s="13" t="str">
        <f aca="false">IF(A31="","",SUM(C31:F31))</f>
        <v/>
      </c>
      <c r="H31" s="29" t="str">
        <f aca="false">IF(A31="","",C31*Premissas!$C$4)</f>
        <v/>
      </c>
      <c r="I31" s="29" t="str">
        <f aca="false">IF(A31="","",D31*Premissas!$C$5)</f>
        <v/>
      </c>
      <c r="J31" s="29" t="str">
        <f aca="false">IF(A31="","",E31*Premissas!$C$6)</f>
        <v/>
      </c>
      <c r="K31" s="29" t="str">
        <f aca="false">IF(A31="","",F31*Premissas!$C$7)</f>
        <v/>
      </c>
      <c r="L31" s="35" t="str">
        <f aca="false">IF(A31="","",SUM(H31:K31))</f>
        <v/>
      </c>
      <c r="M31" s="30" t="str">
        <f aca="false">IF(A31="","",IF(G31=0,0,L31/G31))</f>
        <v/>
      </c>
      <c r="N31" s="14" t="str">
        <f aca="false">IF(A31="","",IF(L31=0,0,I31/L31))</f>
        <v/>
      </c>
      <c r="O31" s="31" t="str">
        <f aca="false">IF(A31="","",IF(L30=0,"n/d",L31/L30-1))</f>
        <v/>
      </c>
    </row>
    <row r="32" customFormat="false" ht="14.25" hidden="false" customHeight="false" outlineLevel="0" collapsed="false">
      <c r="A32" s="34" t="str">
        <f aca="false">IF(A31="","",IF(EDATE(A31,1)&gt;MAX(Diário!$A$5:$A$400),"",EDATE(A31,1)))</f>
        <v/>
      </c>
      <c r="B32" s="13" t="str">
        <f aca="false">IF(A32="","",COUNTIFS(Diário!$H$5:$H$400,A32))</f>
        <v/>
      </c>
      <c r="C32" s="13" t="str">
        <f aca="false">IF($A32="","",SUMIFS(Diário!$B$5:$B$400,Diário!$H$5:$H$400,$A32))</f>
        <v/>
      </c>
      <c r="D32" s="13" t="str">
        <f aca="false">IF($A32="","",SUMIFS(Diário!$E$5:$E$400,Diário!$H$5:$H$400,$A32))</f>
        <v/>
      </c>
      <c r="E32" s="13" t="str">
        <f aca="false">IF($A32="","",SUMIFS(Diário!$D$5:$D$400,Diário!$H$5:$H$400,$A32))</f>
        <v/>
      </c>
      <c r="F32" s="13" t="str">
        <f aca="false">IF($A32="","",SUMIFS(Diário!$C$5:$C$400,Diário!$H$5:$H$400,$A32))</f>
        <v/>
      </c>
      <c r="G32" s="13" t="str">
        <f aca="false">IF(A32="","",SUM(C32:F32))</f>
        <v/>
      </c>
      <c r="H32" s="29" t="str">
        <f aca="false">IF(A32="","",C32*Premissas!$C$4)</f>
        <v/>
      </c>
      <c r="I32" s="29" t="str">
        <f aca="false">IF(A32="","",D32*Premissas!$C$5)</f>
        <v/>
      </c>
      <c r="J32" s="29" t="str">
        <f aca="false">IF(A32="","",E32*Premissas!$C$6)</f>
        <v/>
      </c>
      <c r="K32" s="29" t="str">
        <f aca="false">IF(A32="","",F32*Premissas!$C$7)</f>
        <v/>
      </c>
      <c r="L32" s="35" t="str">
        <f aca="false">IF(A32="","",SUM(H32:K32))</f>
        <v/>
      </c>
      <c r="M32" s="30" t="str">
        <f aca="false">IF(A32="","",IF(G32=0,0,L32/G32))</f>
        <v/>
      </c>
      <c r="N32" s="14" t="str">
        <f aca="false">IF(A32="","",IF(L32=0,0,I32/L32))</f>
        <v/>
      </c>
      <c r="O32" s="31" t="str">
        <f aca="false">IF(A32="","",IF(L31=0,"n/d",L32/L31-1))</f>
        <v/>
      </c>
    </row>
    <row r="33" customFormat="false" ht="14.25" hidden="false" customHeight="false" outlineLevel="0" collapsed="false">
      <c r="A33" s="34" t="str">
        <f aca="false">IF(A32="","",IF(EDATE(A32,1)&gt;MAX(Diário!$A$5:$A$400),"",EDATE(A32,1)))</f>
        <v/>
      </c>
      <c r="B33" s="13" t="str">
        <f aca="false">IF(A33="","",COUNTIFS(Diário!$H$5:$H$400,A33))</f>
        <v/>
      </c>
      <c r="C33" s="13" t="str">
        <f aca="false">IF($A33="","",SUMIFS(Diário!$B$5:$B$400,Diário!$H$5:$H$400,$A33))</f>
        <v/>
      </c>
      <c r="D33" s="13" t="str">
        <f aca="false">IF($A33="","",SUMIFS(Diário!$E$5:$E$400,Diário!$H$5:$H$400,$A33))</f>
        <v/>
      </c>
      <c r="E33" s="13" t="str">
        <f aca="false">IF($A33="","",SUMIFS(Diário!$D$5:$D$400,Diário!$H$5:$H$400,$A33))</f>
        <v/>
      </c>
      <c r="F33" s="13" t="str">
        <f aca="false">IF($A33="","",SUMIFS(Diário!$C$5:$C$400,Diário!$H$5:$H$400,$A33))</f>
        <v/>
      </c>
      <c r="G33" s="13" t="str">
        <f aca="false">IF(A33="","",SUM(C33:F33))</f>
        <v/>
      </c>
      <c r="H33" s="29" t="str">
        <f aca="false">IF(A33="","",C33*Premissas!$C$4)</f>
        <v/>
      </c>
      <c r="I33" s="29" t="str">
        <f aca="false">IF(A33="","",D33*Premissas!$C$5)</f>
        <v/>
      </c>
      <c r="J33" s="29" t="str">
        <f aca="false">IF(A33="","",E33*Premissas!$C$6)</f>
        <v/>
      </c>
      <c r="K33" s="29" t="str">
        <f aca="false">IF(A33="","",F33*Premissas!$C$7)</f>
        <v/>
      </c>
      <c r="L33" s="35" t="str">
        <f aca="false">IF(A33="","",SUM(H33:K33))</f>
        <v/>
      </c>
      <c r="M33" s="30" t="str">
        <f aca="false">IF(A33="","",IF(G33=0,0,L33/G33))</f>
        <v/>
      </c>
      <c r="N33" s="14" t="str">
        <f aca="false">IF(A33="","",IF(L33=0,0,I33/L33))</f>
        <v/>
      </c>
      <c r="O33" s="31" t="str">
        <f aca="false">IF(A33="","",IF(L32=0,"n/d",L33/L32-1))</f>
        <v/>
      </c>
    </row>
    <row r="34" customFormat="false" ht="14.25" hidden="false" customHeight="false" outlineLevel="0" collapsed="false">
      <c r="A34" s="34" t="str">
        <f aca="false">IF(A33="","",IF(EDATE(A33,1)&gt;MAX(Diário!$A$5:$A$400),"",EDATE(A33,1)))</f>
        <v/>
      </c>
      <c r="B34" s="13" t="str">
        <f aca="false">IF(A34="","",COUNTIFS(Diário!$H$5:$H$400,A34))</f>
        <v/>
      </c>
      <c r="C34" s="13" t="str">
        <f aca="false">IF($A34="","",SUMIFS(Diário!$B$5:$B$400,Diário!$H$5:$H$400,$A34))</f>
        <v/>
      </c>
      <c r="D34" s="13" t="str">
        <f aca="false">IF($A34="","",SUMIFS(Diário!$E$5:$E$400,Diário!$H$5:$H$400,$A34))</f>
        <v/>
      </c>
      <c r="E34" s="13" t="str">
        <f aca="false">IF($A34="","",SUMIFS(Diário!$D$5:$D$400,Diário!$H$5:$H$400,$A34))</f>
        <v/>
      </c>
      <c r="F34" s="13" t="str">
        <f aca="false">IF($A34="","",SUMIFS(Diário!$C$5:$C$400,Diário!$H$5:$H$400,$A34))</f>
        <v/>
      </c>
      <c r="G34" s="13" t="str">
        <f aca="false">IF(A34="","",SUM(C34:F34))</f>
        <v/>
      </c>
      <c r="H34" s="29" t="str">
        <f aca="false">IF(A34="","",C34*Premissas!$C$4)</f>
        <v/>
      </c>
      <c r="I34" s="29" t="str">
        <f aca="false">IF(A34="","",D34*Premissas!$C$5)</f>
        <v/>
      </c>
      <c r="J34" s="29" t="str">
        <f aca="false">IF(A34="","",E34*Premissas!$C$6)</f>
        <v/>
      </c>
      <c r="K34" s="29" t="str">
        <f aca="false">IF(A34="","",F34*Premissas!$C$7)</f>
        <v/>
      </c>
      <c r="L34" s="35" t="str">
        <f aca="false">IF(A34="","",SUM(H34:K34))</f>
        <v/>
      </c>
      <c r="M34" s="30" t="str">
        <f aca="false">IF(A34="","",IF(G34=0,0,L34/G34))</f>
        <v/>
      </c>
      <c r="N34" s="14" t="str">
        <f aca="false">IF(A34="","",IF(L34=0,0,I34/L34))</f>
        <v/>
      </c>
      <c r="O34" s="31" t="str">
        <f aca="false">IF(A34="","",IF(L33=0,"n/d",L34/L33-1))</f>
        <v/>
      </c>
    </row>
    <row r="35" customFormat="false" ht="14.25" hidden="false" customHeight="false" outlineLevel="0" collapsed="false">
      <c r="A35" s="34" t="str">
        <f aca="false">IF(A34="","",IF(EDATE(A34,1)&gt;MAX(Diário!$A$5:$A$400),"",EDATE(A34,1)))</f>
        <v/>
      </c>
      <c r="B35" s="13" t="str">
        <f aca="false">IF(A35="","",COUNTIFS(Diário!$H$5:$H$400,A35))</f>
        <v/>
      </c>
      <c r="C35" s="13" t="str">
        <f aca="false">IF($A35="","",SUMIFS(Diário!$B$5:$B$400,Diário!$H$5:$H$400,$A35))</f>
        <v/>
      </c>
      <c r="D35" s="13" t="str">
        <f aca="false">IF($A35="","",SUMIFS(Diário!$E$5:$E$400,Diário!$H$5:$H$400,$A35))</f>
        <v/>
      </c>
      <c r="E35" s="13" t="str">
        <f aca="false">IF($A35="","",SUMIFS(Diário!$D$5:$D$400,Diário!$H$5:$H$400,$A35))</f>
        <v/>
      </c>
      <c r="F35" s="13" t="str">
        <f aca="false">IF($A35="","",SUMIFS(Diário!$C$5:$C$400,Diário!$H$5:$H$400,$A35))</f>
        <v/>
      </c>
      <c r="G35" s="13" t="str">
        <f aca="false">IF(A35="","",SUM(C35:F35))</f>
        <v/>
      </c>
      <c r="H35" s="29" t="str">
        <f aca="false">IF(A35="","",C35*Premissas!$C$4)</f>
        <v/>
      </c>
      <c r="I35" s="29" t="str">
        <f aca="false">IF(A35="","",D35*Premissas!$C$5)</f>
        <v/>
      </c>
      <c r="J35" s="29" t="str">
        <f aca="false">IF(A35="","",E35*Premissas!$C$6)</f>
        <v/>
      </c>
      <c r="K35" s="29" t="str">
        <f aca="false">IF(A35="","",F35*Premissas!$C$7)</f>
        <v/>
      </c>
      <c r="L35" s="35" t="str">
        <f aca="false">IF(A35="","",SUM(H35:K35))</f>
        <v/>
      </c>
      <c r="M35" s="30" t="str">
        <f aca="false">IF(A35="","",IF(G35=0,0,L35/G35))</f>
        <v/>
      </c>
      <c r="N35" s="14" t="str">
        <f aca="false">IF(A35="","",IF(L35=0,0,I35/L35))</f>
        <v/>
      </c>
      <c r="O35" s="31" t="str">
        <f aca="false">IF(A35="","",IF(L34=0,"n/d",L35/L34-1))</f>
        <v/>
      </c>
    </row>
    <row r="36" customFormat="false" ht="14.25" hidden="false" customHeight="false" outlineLevel="0" collapsed="false">
      <c r="A36" s="34" t="str">
        <f aca="false">IF(A35="","",IF(EDATE(A35,1)&gt;MAX(Diário!$A$5:$A$400),"",EDATE(A35,1)))</f>
        <v/>
      </c>
      <c r="B36" s="13" t="str">
        <f aca="false">IF(A36="","",COUNTIFS(Diário!$H$5:$H$400,A36))</f>
        <v/>
      </c>
      <c r="C36" s="13" t="str">
        <f aca="false">IF($A36="","",SUMIFS(Diário!$B$5:$B$400,Diário!$H$5:$H$400,$A36))</f>
        <v/>
      </c>
      <c r="D36" s="13" t="str">
        <f aca="false">IF($A36="","",SUMIFS(Diário!$E$5:$E$400,Diário!$H$5:$H$400,$A36))</f>
        <v/>
      </c>
      <c r="E36" s="13" t="str">
        <f aca="false">IF($A36="","",SUMIFS(Diário!$D$5:$D$400,Diário!$H$5:$H$400,$A36))</f>
        <v/>
      </c>
      <c r="F36" s="13" t="str">
        <f aca="false">IF($A36="","",SUMIFS(Diário!$C$5:$C$400,Diário!$H$5:$H$400,$A36))</f>
        <v/>
      </c>
      <c r="G36" s="13" t="str">
        <f aca="false">IF(A36="","",SUM(C36:F36))</f>
        <v/>
      </c>
      <c r="H36" s="29" t="str">
        <f aca="false">IF(A36="","",C36*Premissas!$C$4)</f>
        <v/>
      </c>
      <c r="I36" s="29" t="str">
        <f aca="false">IF(A36="","",D36*Premissas!$C$5)</f>
        <v/>
      </c>
      <c r="J36" s="29" t="str">
        <f aca="false">IF(A36="","",E36*Premissas!$C$6)</f>
        <v/>
      </c>
      <c r="K36" s="29" t="str">
        <f aca="false">IF(A36="","",F36*Premissas!$C$7)</f>
        <v/>
      </c>
      <c r="L36" s="35" t="str">
        <f aca="false">IF(A36="","",SUM(H36:K36))</f>
        <v/>
      </c>
      <c r="M36" s="30" t="str">
        <f aca="false">IF(A36="","",IF(G36=0,0,L36/G36))</f>
        <v/>
      </c>
      <c r="N36" s="14" t="str">
        <f aca="false">IF(A36="","",IF(L36=0,0,I36/L36))</f>
        <v/>
      </c>
      <c r="O36" s="31" t="str">
        <f aca="false">IF(A36="","",IF(L35=0,"n/d",L36/L35-1))</f>
        <v/>
      </c>
    </row>
    <row r="37" customFormat="false" ht="14.25" hidden="false" customHeight="false" outlineLevel="0" collapsed="false">
      <c r="A37" s="34" t="str">
        <f aca="false">IF(A36="","",IF(EDATE(A36,1)&gt;MAX(Diário!$A$5:$A$400),"",EDATE(A36,1)))</f>
        <v/>
      </c>
      <c r="B37" s="13" t="str">
        <f aca="false">IF(A37="","",COUNTIFS(Diário!$H$5:$H$400,A37))</f>
        <v/>
      </c>
      <c r="C37" s="13" t="str">
        <f aca="false">IF($A37="","",SUMIFS(Diário!$B$5:$B$400,Diário!$H$5:$H$400,$A37))</f>
        <v/>
      </c>
      <c r="D37" s="13" t="str">
        <f aca="false">IF($A37="","",SUMIFS(Diário!$E$5:$E$400,Diário!$H$5:$H$400,$A37))</f>
        <v/>
      </c>
      <c r="E37" s="13" t="str">
        <f aca="false">IF($A37="","",SUMIFS(Diário!$D$5:$D$400,Diário!$H$5:$H$400,$A37))</f>
        <v/>
      </c>
      <c r="F37" s="13" t="str">
        <f aca="false">IF($A37="","",SUMIFS(Diário!$C$5:$C$400,Diário!$H$5:$H$400,$A37))</f>
        <v/>
      </c>
      <c r="G37" s="13" t="str">
        <f aca="false">IF(A37="","",SUM(C37:F37))</f>
        <v/>
      </c>
      <c r="H37" s="29" t="str">
        <f aca="false">IF(A37="","",C37*Premissas!$C$4)</f>
        <v/>
      </c>
      <c r="I37" s="29" t="str">
        <f aca="false">IF(A37="","",D37*Premissas!$C$5)</f>
        <v/>
      </c>
      <c r="J37" s="29" t="str">
        <f aca="false">IF(A37="","",E37*Premissas!$C$6)</f>
        <v/>
      </c>
      <c r="K37" s="29" t="str">
        <f aca="false">IF(A37="","",F37*Premissas!$C$7)</f>
        <v/>
      </c>
      <c r="L37" s="35" t="str">
        <f aca="false">IF(A37="","",SUM(H37:K37))</f>
        <v/>
      </c>
      <c r="M37" s="30" t="str">
        <f aca="false">IF(A37="","",IF(G37=0,0,L37/G37))</f>
        <v/>
      </c>
      <c r="N37" s="14" t="str">
        <f aca="false">IF(A37="","",IF(L37=0,0,I37/L37))</f>
        <v/>
      </c>
      <c r="O37" s="31" t="str">
        <f aca="false">IF(A37="","",IF(L36=0,"n/d",L37/L36-1))</f>
        <v/>
      </c>
    </row>
    <row r="38" customFormat="false" ht="14.25" hidden="false" customHeight="false" outlineLevel="0" collapsed="false">
      <c r="A38" s="34" t="str">
        <f aca="false">IF(A37="","",IF(EDATE(A37,1)&gt;MAX(Diário!$A$5:$A$400),"",EDATE(A37,1)))</f>
        <v/>
      </c>
      <c r="B38" s="13" t="str">
        <f aca="false">IF(A38="","",COUNTIFS(Diário!$H$5:$H$400,A38))</f>
        <v/>
      </c>
      <c r="C38" s="13" t="str">
        <f aca="false">IF($A38="","",SUMIFS(Diário!$B$5:$B$400,Diário!$H$5:$H$400,$A38))</f>
        <v/>
      </c>
      <c r="D38" s="13" t="str">
        <f aca="false">IF($A38="","",SUMIFS(Diário!$E$5:$E$400,Diário!$H$5:$H$400,$A38))</f>
        <v/>
      </c>
      <c r="E38" s="13" t="str">
        <f aca="false">IF($A38="","",SUMIFS(Diário!$D$5:$D$400,Diário!$H$5:$H$400,$A38))</f>
        <v/>
      </c>
      <c r="F38" s="13" t="str">
        <f aca="false">IF($A38="","",SUMIFS(Diário!$C$5:$C$400,Diário!$H$5:$H$400,$A38))</f>
        <v/>
      </c>
      <c r="G38" s="13" t="str">
        <f aca="false">IF(A38="","",SUM(C38:F38))</f>
        <v/>
      </c>
      <c r="H38" s="29" t="str">
        <f aca="false">IF(A38="","",C38*Premissas!$C$4)</f>
        <v/>
      </c>
      <c r="I38" s="29" t="str">
        <f aca="false">IF(A38="","",D38*Premissas!$C$5)</f>
        <v/>
      </c>
      <c r="J38" s="29" t="str">
        <f aca="false">IF(A38="","",E38*Premissas!$C$6)</f>
        <v/>
      </c>
      <c r="K38" s="29" t="str">
        <f aca="false">IF(A38="","",F38*Premissas!$C$7)</f>
        <v/>
      </c>
      <c r="L38" s="35" t="str">
        <f aca="false">IF(A38="","",SUM(H38:K38))</f>
        <v/>
      </c>
      <c r="M38" s="30" t="str">
        <f aca="false">IF(A38="","",IF(G38=0,0,L38/G38))</f>
        <v/>
      </c>
      <c r="N38" s="14" t="str">
        <f aca="false">IF(A38="","",IF(L38=0,0,I38/L38))</f>
        <v/>
      </c>
      <c r="O38" s="31" t="str">
        <f aca="false">IF(A38="","",IF(L37=0,"n/d",L38/L37-1))</f>
        <v/>
      </c>
    </row>
    <row r="39" customFormat="false" ht="14.25" hidden="false" customHeight="false" outlineLevel="0" collapsed="false">
      <c r="A39" s="34" t="str">
        <f aca="false">IF(A38="","",IF(EDATE(A38,1)&gt;MAX(Diário!$A$5:$A$400),"",EDATE(A38,1)))</f>
        <v/>
      </c>
      <c r="B39" s="13" t="str">
        <f aca="false">IF(A39="","",COUNTIFS(Diário!$H$5:$H$400,A39))</f>
        <v/>
      </c>
      <c r="C39" s="13" t="str">
        <f aca="false">IF($A39="","",SUMIFS(Diário!$B$5:$B$400,Diário!$H$5:$H$400,$A39))</f>
        <v/>
      </c>
      <c r="D39" s="13" t="str">
        <f aca="false">IF($A39="","",SUMIFS(Diário!$E$5:$E$400,Diário!$H$5:$H$400,$A39))</f>
        <v/>
      </c>
      <c r="E39" s="13" t="str">
        <f aca="false">IF($A39="","",SUMIFS(Diário!$D$5:$D$400,Diário!$H$5:$H$400,$A39))</f>
        <v/>
      </c>
      <c r="F39" s="13" t="str">
        <f aca="false">IF($A39="","",SUMIFS(Diário!$C$5:$C$400,Diário!$H$5:$H$400,$A39))</f>
        <v/>
      </c>
      <c r="G39" s="13" t="str">
        <f aca="false">IF(A39="","",SUM(C39:F39))</f>
        <v/>
      </c>
      <c r="H39" s="29" t="str">
        <f aca="false">IF(A39="","",C39*Premissas!$C$4)</f>
        <v/>
      </c>
      <c r="I39" s="29" t="str">
        <f aca="false">IF(A39="","",D39*Premissas!$C$5)</f>
        <v/>
      </c>
      <c r="J39" s="29" t="str">
        <f aca="false">IF(A39="","",E39*Premissas!$C$6)</f>
        <v/>
      </c>
      <c r="K39" s="29" t="str">
        <f aca="false">IF(A39="","",F39*Premissas!$C$7)</f>
        <v/>
      </c>
      <c r="L39" s="35" t="str">
        <f aca="false">IF(A39="","",SUM(H39:K39))</f>
        <v/>
      </c>
      <c r="M39" s="30" t="str">
        <f aca="false">IF(A39="","",IF(G39=0,0,L39/G39))</f>
        <v/>
      </c>
      <c r="N39" s="14" t="str">
        <f aca="false">IF(A39="","",IF(L39=0,0,I39/L39))</f>
        <v/>
      </c>
      <c r="O39" s="31" t="str">
        <f aca="false">IF(A39="","",IF(L38=0,"n/d",L39/L38-1))</f>
        <v/>
      </c>
    </row>
    <row r="40" customFormat="false" ht="14.25" hidden="false" customHeight="false" outlineLevel="0" collapsed="false">
      <c r="A40" s="34" t="str">
        <f aca="false">IF(A39="","",IF(EDATE(A39,1)&gt;MAX(Diário!$A$5:$A$400),"",EDATE(A39,1)))</f>
        <v/>
      </c>
      <c r="B40" s="13" t="str">
        <f aca="false">IF(A40="","",COUNTIFS(Diário!$H$5:$H$400,A40))</f>
        <v/>
      </c>
      <c r="C40" s="13" t="str">
        <f aca="false">IF($A40="","",SUMIFS(Diário!$B$5:$B$400,Diário!$H$5:$H$400,$A40))</f>
        <v/>
      </c>
      <c r="D40" s="13" t="str">
        <f aca="false">IF($A40="","",SUMIFS(Diário!$E$5:$E$400,Diário!$H$5:$H$400,$A40))</f>
        <v/>
      </c>
      <c r="E40" s="13" t="str">
        <f aca="false">IF($A40="","",SUMIFS(Diário!$D$5:$D$400,Diário!$H$5:$H$400,$A40))</f>
        <v/>
      </c>
      <c r="F40" s="13" t="str">
        <f aca="false">IF($A40="","",SUMIFS(Diário!$C$5:$C$400,Diário!$H$5:$H$400,$A40))</f>
        <v/>
      </c>
      <c r="G40" s="13" t="str">
        <f aca="false">IF(A40="","",SUM(C40:F40))</f>
        <v/>
      </c>
      <c r="H40" s="29" t="str">
        <f aca="false">IF(A40="","",C40*Premissas!$C$4)</f>
        <v/>
      </c>
      <c r="I40" s="29" t="str">
        <f aca="false">IF(A40="","",D40*Premissas!$C$5)</f>
        <v/>
      </c>
      <c r="J40" s="29" t="str">
        <f aca="false">IF(A40="","",E40*Premissas!$C$6)</f>
        <v/>
      </c>
      <c r="K40" s="29" t="str">
        <f aca="false">IF(A40="","",F40*Premissas!$C$7)</f>
        <v/>
      </c>
      <c r="L40" s="35" t="str">
        <f aca="false">IF(A40="","",SUM(H40:K40))</f>
        <v/>
      </c>
      <c r="M40" s="30" t="str">
        <f aca="false">IF(A40="","",IF(G40=0,0,L40/G40))</f>
        <v/>
      </c>
      <c r="N40" s="14" t="str">
        <f aca="false">IF(A40="","",IF(L40=0,0,I40/L40))</f>
        <v/>
      </c>
      <c r="O40" s="31" t="str">
        <f aca="false">IF(A40="","",IF(L39=0,"n/d",L40/L39-1))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2026-10-07T14:38:51Z</dcterms:created>
  <dc:creator>openpyxl</dc:creator>
  <dc:description/>
  <dc:language>en-US</dc:language>
  <cp:lastModifiedBy>Bruno Nascimento</cp:lastModifiedBy>
  <dcterms:modified xsi:type="dcterms:W3CDTF">2026-10-21T19:09:45Z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